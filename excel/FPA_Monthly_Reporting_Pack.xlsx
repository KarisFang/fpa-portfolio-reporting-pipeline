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_Monthly" sheetId="2" state="visible" r:id="rId4"/>
    <sheet name="Data_Regional" sheetId="3" state="visible" r:id="rId5"/>
    <sheet name="Data_Channel" sheetId="4" state="visible" r:id="rId6"/>
    <sheet name="Data_Category" sheetId="5" state="visible" r:id="rId7"/>
    <sheet name="Top_Custom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<sst xmlns="http://schemas.openxmlformats.org/spreadsheetml/2006/main" count="510" uniqueCount="139">
  <si>
    <t xml:space="preserve">Meridian Retail Co. — Monthly FP&amp;A Reporting Pack</t>
  </si>
  <si>
    <t xml:space="preserve">Auto-generated from the SQL pipeline (sales.db) — replaces a manual monthly Excel pull</t>
  </si>
  <si>
    <t xml:space="preserve">Latest Month Revenue</t>
  </si>
  <si>
    <t xml:space="preserve">MoM Growth %</t>
  </si>
  <si>
    <t xml:space="preserve">YoY Growth %</t>
  </si>
  <si>
    <t xml:space="preserve">FY2025 YTD Revenue</t>
  </si>
  <si>
    <t xml:space="preserve">Blended Gross Margin %</t>
  </si>
  <si>
    <t xml:space="preserve">Top 5 Customers by Revenue</t>
  </si>
  <si>
    <t xml:space="preserve">Customer</t>
  </si>
  <si>
    <t xml:space="preserve">Region</t>
  </si>
  <si>
    <t xml:space="preserve">Revenue</t>
  </si>
  <si>
    <t xml:space="preserve">Headline insight: North America (+23.8% YoY) and Latin America (+28.9% YoY) are growing fast, but Greater Asia is down -37.8% YoY — that decline alone offsets most of the company's growth elsewhere, which is exactly the kind of finding this pipeline is built to surface automatically every month instead of waiting for a manual deep-dive.</t>
  </si>
  <si>
    <t xml:space="preserve">Monthly Revenue &amp; Margin — Source: SQL export (monthly_kpis.csv) from sales.db</t>
  </si>
  <si>
    <t xml:space="preserve">Year-Month</t>
  </si>
  <si>
    <t xml:space="preserve">Transactions</t>
  </si>
  <si>
    <t xml:space="preserve">Net Revenue</t>
  </si>
  <si>
    <t xml:space="preserve">Gross Profit</t>
  </si>
  <si>
    <t xml:space="preserve">Gross Margin %</t>
  </si>
  <si>
    <t xml:space="preserve">3-Mo Rolling Avg Revenue</t>
  </si>
  <si>
    <t xml:space="preserve">YTD Revenue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</si>
  <si>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</si>
  <si>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</si>
  <si>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</si>
  <si>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</si>
  <si>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</si>
  <si>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</si>
  <si>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</si>
  <si>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</si>
  <si>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</si>
  <si>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</si>
  <si>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</si>
  <si>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</si>
  <si>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</si>
  <si>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</si>
  <si>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</si>
  <si>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</si>
  <si>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</si>
  <si>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</si>
  <si>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</si>
  <si>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</si>
  <si>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</si>
  <si>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</si>
  <si>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</si>
  <si>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</si>
  <si>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Regional Revenue — Source: SQL export (regional_monthly.csv)</t>
  </si>
  <si>
    <t xml:space="preserve">FY2024 Revenue</t>
  </si>
  <si>
    <t xml:space="preserve">FY2025 Revenue</t>
  </si>
  <si>
    <t xml:space="preserve">FY2025 Share of Total %</t>
  </si>
  <si>
    <t xml:space="preserve">APAC</t>
  </si>
  <si>
    <t xml:space="preserve">Europe</t>
  </si>
  <si>
    <t xml:space="preserve">Greater Asia</t>
  </si>
  <si>
    <t xml:space="preserve">Latin America</t>
  </si>
  <si>
    <t xml:space="preserve">North America</t>
  </si>
  <si>
    <t xml:space="preserve">Total</t>
  </si>
  <si>
    <t xml:space="preserve">Monthly Detail (for charting)</t>
  </si>
  <si>
    <t xml:space="preserve">Channel Mix — Source: SQL export (channel_monthly.csv)</t>
  </si>
  <si>
    <t xml:space="preserve">Channel</t>
  </si>
  <si>
    <t xml:space="preserve">FY2024 Share %</t>
  </si>
  <si>
    <t xml:space="preserve">FY2025 Share %</t>
  </si>
  <si>
    <t xml:space="preserve">Online</t>
  </si>
  <si>
    <t xml:space="preserve">Retail</t>
  </si>
  <si>
    <t xml:space="preserve">Wholesale</t>
  </si>
  <si>
    <t xml:space="preserve">Product Category Mix &amp; Margin — Source: SQL export (category_monthly.csv)</t>
  </si>
  <si>
    <t xml:space="preserve">Category</t>
  </si>
  <si>
    <t xml:space="preserve">Net Revenue (FY24-25)</t>
  </si>
  <si>
    <t xml:space="preserve">% of Total Revenue</t>
  </si>
  <si>
    <t xml:space="preserve">Accessories</t>
  </si>
  <si>
    <t xml:space="preserve">Electronics</t>
  </si>
  <si>
    <t xml:space="preserve">Services</t>
  </si>
  <si>
    <t xml:space="preserve">Software</t>
  </si>
  <si>
    <t xml:space="preserve">Customer Revenue Ranking — Source: SQL export (customer_summary.csv)</t>
  </si>
  <si>
    <t xml:space="preserve">Rank</t>
  </si>
  <si>
    <t xml:space="preserve">Segment</t>
  </si>
  <si>
    <t xml:space="preserve">Total Revenue</t>
  </si>
  <si>
    <t xml:space="preserve">Total Gross Profit</t>
  </si>
  <si>
    <t xml:space="preserve">Margin %</t>
  </si>
  <si>
    <t xml:space="preserve">Customer 011</t>
  </si>
  <si>
    <t xml:space="preserve">Consumer</t>
  </si>
  <si>
    <t xml:space="preserve">Customer 026</t>
  </si>
  <si>
    <t xml:space="preserve">SMB</t>
  </si>
  <si>
    <t xml:space="preserve">Customer 021</t>
  </si>
  <si>
    <t xml:space="preserve">Customer 056</t>
  </si>
  <si>
    <t xml:space="preserve">Customer 036</t>
  </si>
  <si>
    <t xml:space="preserve">Customer 041</t>
  </si>
  <si>
    <t xml:space="preserve">Customer 001</t>
  </si>
  <si>
    <t xml:space="preserve">Customer 007</t>
  </si>
  <si>
    <t xml:space="preserve">Customer 016</t>
  </si>
  <si>
    <t xml:space="preserve">Customer 006</t>
  </si>
  <si>
    <t xml:space="preserve">Customer 046</t>
  </si>
  <si>
    <t xml:space="preserve">Customer 017</t>
  </si>
  <si>
    <t xml:space="preserve">Customer 048</t>
  </si>
  <si>
    <t xml:space="preserve">Customer 012</t>
  </si>
  <si>
    <t xml:space="preserve">Customer 042</t>
  </si>
  <si>
    <t xml:space="preserve">Customer 022</t>
  </si>
  <si>
    <t xml:space="preserve">Customer 018</t>
  </si>
  <si>
    <t xml:space="preserve">Customer 057</t>
  </si>
  <si>
    <t xml:space="preserve">Customer 031</t>
  </si>
  <si>
    <t xml:space="preserve">Customer 023</t>
  </si>
  <si>
    <t xml:space="preserve">Customer 008</t>
  </si>
  <si>
    <t xml:space="preserve">Customer 052</t>
  </si>
  <si>
    <t xml:space="preserve">Customer 043</t>
  </si>
  <si>
    <t xml:space="preserve">Customer 051</t>
  </si>
  <si>
    <t xml:space="preserve">Customer 028</t>
  </si>
  <si>
    <t xml:space="preserve">Customer 037</t>
  </si>
  <si>
    <t xml:space="preserve">Customer 002</t>
  </si>
  <si>
    <t xml:space="preserve">Customer 034</t>
  </si>
  <si>
    <t xml:space="preserve">Customer 013</t>
  </si>
  <si>
    <t xml:space="preserve">Customer 032</t>
  </si>
  <si>
    <t xml:space="preserve">Customer 027</t>
  </si>
  <si>
    <t xml:space="preserve">Customer 053</t>
  </si>
  <si>
    <t xml:space="preserve">Customer 038</t>
  </si>
  <si>
    <t xml:space="preserve">Customer 033</t>
  </si>
  <si>
    <t xml:space="preserve">Customer 059</t>
  </si>
  <si>
    <t xml:space="preserve">Customer 003</t>
  </si>
  <si>
    <t xml:space="preserve">Customer 058</t>
  </si>
  <si>
    <t xml:space="preserve">Customer 004</t>
  </si>
  <si>
    <t xml:space="preserve">Customer 044</t>
  </si>
  <si>
    <t xml:space="preserve">Customer 039</t>
  </si>
  <si>
    <t xml:space="preserve">Customer 047</t>
  </si>
  <si>
    <t xml:space="preserve">Customer 054</t>
  </si>
  <si>
    <t xml:space="preserve">Customer 009</t>
  </si>
  <si>
    <t xml:space="preserve">Customer 029</t>
  </si>
  <si>
    <t xml:space="preserve">Customer 019</t>
  </si>
  <si>
    <t xml:space="preserve">Customer 024</t>
  </si>
  <si>
    <t xml:space="preserve">Customer 014</t>
  </si>
  <si>
    <t xml:space="preserve">Customer 050</t>
  </si>
  <si>
    <t xml:space="preserve">Enterprise</t>
  </si>
  <si>
    <t xml:space="preserve">Customer 010</t>
  </si>
  <si>
    <t xml:space="preserve">Customer 045</t>
  </si>
  <si>
    <t xml:space="preserve">Customer 015</t>
  </si>
  <si>
    <t xml:space="preserve">Customer 020</t>
  </si>
  <si>
    <t xml:space="preserve">Customer 030</t>
  </si>
  <si>
    <t xml:space="preserve">Customer 049</t>
  </si>
  <si>
    <t xml:space="preserve">Customer 035</t>
  </si>
  <si>
    <t xml:space="preserve">Customer 025</t>
  </si>
  <si>
    <t xml:space="preserve">Customer 055</t>
  </si>
  <si>
    <t xml:space="preserve">Customer 060</t>
  </si>
  <si>
    <t xml:space="preserve">Customer 005</t>
  </si>
  <si>
    <t xml:space="preserve">Customer 040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</si>
</sst>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;\(0.0%\);\-"/>
    <numFmt numFmtId="167" formatCode="#,##0;\(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sz val="10"/>
      <color rgb="FF595959"/>
      <name val="Calibri"/>
      <family val="0"/>
      <charset val="1"/>
    </font>
    <font>
      <b val="true"/>
      <sz val="20"/>
      <color rgb="FF1F4E78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9F9F9"/>
      </patternFill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Net Revenue &amp; Gross Profit (FY2024-FY2025)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Data_Monthly!C3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Data_Monthly!$A$4:$A$27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Data_Monthly!$C$4:$C$27</c:f>
              <c:numCache>
                <c:formatCode>\$#,##0;"($"#,##0\);\-</c:formatCode>
                <c:ptCount val="24"/>
                <c:pt idx="0">
                  <c:v>1004033.14</c:v>
                </c:pt>
                <c:pt idx="1">
                  <c:v>848108.49</c:v>
                </c:pt>
                <c:pt idx="2">
                  <c:v>1502987.63</c:v>
                </c:pt>
                <c:pt idx="3">
                  <c:v>1625213.91</c:v>
                </c:pt>
                <c:pt idx="4">
                  <c:v>1609491.04</c:v>
                </c:pt>
                <c:pt idx="5">
                  <c:v>1325122.71</c:v>
                </c:pt>
                <c:pt idx="6">
                  <c:v>1766492.67</c:v>
                </c:pt>
                <c:pt idx="7">
                  <c:v>1344137.82</c:v>
                </c:pt>
                <c:pt idx="8">
                  <c:v>1604749.72</c:v>
                </c:pt>
                <c:pt idx="9">
                  <c:v>1587225.59</c:v>
                </c:pt>
                <c:pt idx="10">
                  <c:v>2470827.75</c:v>
                </c:pt>
                <c:pt idx="11">
                  <c:v>2242990.85</c:v>
                </c:pt>
                <c:pt idx="12">
                  <c:v>1263567.4</c:v>
                </c:pt>
                <c:pt idx="13">
                  <c:v>1173358.73</c:v>
                </c:pt>
                <c:pt idx="14">
                  <c:v>1072009.25</c:v>
                </c:pt>
                <c:pt idx="15">
                  <c:v>1364719.71</c:v>
                </c:pt>
                <c:pt idx="16">
                  <c:v>1446403.19</c:v>
                </c:pt>
                <c:pt idx="17">
                  <c:v>1274057.77</c:v>
                </c:pt>
                <c:pt idx="18">
                  <c:v>1373892.85</c:v>
                </c:pt>
                <c:pt idx="19">
                  <c:v>1420271.33</c:v>
                </c:pt>
                <c:pt idx="20">
                  <c:v>1369692.29</c:v>
                </c:pt>
                <c:pt idx="21">
                  <c:v>1928853.69</c:v>
                </c:pt>
                <c:pt idx="22">
                  <c:v>2239595.84</c:v>
                </c:pt>
                <c:pt idx="23">
                  <c:v>2795696.82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Data_Monthly!D3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Data_Monthly!$A$4:$A$27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Data_Monthly!$D$4:$D$27</c:f>
              <c:numCache>
                <c:formatCode>\$#,##0;"($"#,##0\);\-</c:formatCode>
                <c:ptCount val="24"/>
                <c:pt idx="0">
                  <c:v>514305.14</c:v>
                </c:pt>
                <c:pt idx="1">
                  <c:v>454347.49</c:v>
                </c:pt>
                <c:pt idx="2">
                  <c:v>740246.63</c:v>
                </c:pt>
                <c:pt idx="3">
                  <c:v>803933.91</c:v>
                </c:pt>
                <c:pt idx="4">
                  <c:v>798952.04</c:v>
                </c:pt>
                <c:pt idx="5">
                  <c:v>670308.71</c:v>
                </c:pt>
                <c:pt idx="6">
                  <c:v>869298.67</c:v>
                </c:pt>
                <c:pt idx="7">
                  <c:v>665792.82</c:v>
                </c:pt>
                <c:pt idx="8">
                  <c:v>784629.72</c:v>
                </c:pt>
                <c:pt idx="9">
                  <c:v>801412.59</c:v>
                </c:pt>
                <c:pt idx="10">
                  <c:v>1220266.75</c:v>
                </c:pt>
                <c:pt idx="11">
                  <c:v>1119678.85</c:v>
                </c:pt>
                <c:pt idx="12">
                  <c:v>626837.4</c:v>
                </c:pt>
                <c:pt idx="13">
                  <c:v>608539.73</c:v>
                </c:pt>
                <c:pt idx="14">
                  <c:v>571397.25</c:v>
                </c:pt>
                <c:pt idx="15">
                  <c:v>724730.71</c:v>
                </c:pt>
                <c:pt idx="16">
                  <c:v>721201.19</c:v>
                </c:pt>
                <c:pt idx="17">
                  <c:v>668147.77</c:v>
                </c:pt>
                <c:pt idx="18">
                  <c:v>695189.85</c:v>
                </c:pt>
                <c:pt idx="19">
                  <c:v>733601.33</c:v>
                </c:pt>
                <c:pt idx="20">
                  <c:v>692511.29</c:v>
                </c:pt>
                <c:pt idx="21">
                  <c:v>973381.69</c:v>
                </c:pt>
                <c:pt idx="22">
                  <c:v>1119549.84</c:v>
                </c:pt>
                <c:pt idx="23">
                  <c:v>1382264.82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321967"/>
        <c:axId val="60175722"/>
      </c:lineChart>
      <c:catAx>
        <c:axId val="373219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75722"/>
        <c:crosses val="autoZero"/>
        <c:auto val="1"/>
        <c:lblAlgn val="ctr"/>
        <c:lblOffset val="100"/>
        <c:noMultiLvlLbl val="0"/>
      </c:catAx>
      <c:valAx>
        <c:axId val="601757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3219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Region: FY2024 vs FY2025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Data_Regional!B3</c:f>
              <c:strCache>
                <c:ptCount val="1"/>
                <c:pt idx="0">
                  <c:v>FY2024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Data_Regional!$A$4:$A$8</c:f>
              <c:strCache>
                <c:ptCount val="5"/>
                <c:pt idx="0">
                  <c:v>APAC</c:v>
                </c:pt>
                <c:pt idx="1">
                  <c:v>Europe</c:v>
                </c:pt>
                <c:pt idx="2">
                  <c:v>Greater Asia</c:v>
                </c:pt>
                <c:pt idx="3">
                  <c:v>Latin America</c:v>
                </c:pt>
                <c:pt idx="4">
                  <c:v>North America</c:v>
                </c:pt>
              </c:strCache>
            </c:strRef>
          </c:cat>
          <c:val>
            <c:numRef>
              <c:f>Data_Regional!$B$4:$B$8</c:f>
              <c:numCache>
                <c:formatCode>\$#,##0;"($"#,##0\);\-</c:formatCode>
                <c:ptCount val="5"/>
                <c:pt idx="0">
                  <c:v>2500409.12</c:v>
                </c:pt>
                <c:pt idx="1">
                  <c:v>4627658.57</c:v>
                </c:pt>
                <c:pt idx="2">
                  <c:v>4982241.11</c:v>
                </c:pt>
                <c:pt idx="3">
                  <c:v>1092050.71</c:v>
                </c:pt>
                <c:pt idx="4">
                  <c:v>5729021.81</c:v>
                </c:pt>
              </c:numCache>
            </c:numRef>
          </c:val>
        </c:ser>
        <c:ser>
          <c:idx val="1"/>
          <c:order val="1"/>
          <c:tx>
            <c:strRef>
              <c:f>Data_Regional!C3</c:f>
              <c:strCache>
                <c:ptCount val="1"/>
                <c:pt idx="0">
                  <c:v>FY2025 Revenue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Data_Regional!$A$4:$A$8</c:f>
              <c:strCache>
                <c:ptCount val="5"/>
                <c:pt idx="0">
                  <c:v>APAC</c:v>
                </c:pt>
                <c:pt idx="1">
                  <c:v>Europe</c:v>
                </c:pt>
                <c:pt idx="2">
                  <c:v>Greater Asia</c:v>
                </c:pt>
                <c:pt idx="3">
                  <c:v>Latin America</c:v>
                </c:pt>
                <c:pt idx="4">
                  <c:v>North America</c:v>
                </c:pt>
              </c:strCache>
            </c:strRef>
          </c:cat>
          <c:val>
            <c:numRef>
              <c:f>Data_Regional!$C$4:$C$8</c:f>
              <c:numCache>
                <c:formatCode>\$#,##0;"($"#,##0\);\-</c:formatCode>
                <c:ptCount val="5"/>
                <c:pt idx="0">
                  <c:v>2573786.81</c:v>
                </c:pt>
                <c:pt idx="1">
                  <c:v>4548997.25</c:v>
                </c:pt>
                <c:pt idx="2">
                  <c:v>3096550.13</c:v>
                </c:pt>
                <c:pt idx="3">
                  <c:v>1408055.23</c:v>
                </c:pt>
                <c:pt idx="4">
                  <c:v>7094729.45</c:v>
                </c:pt>
              </c:numCache>
            </c:numRef>
          </c:val>
        </c:ser>
        <c:gapWidth val="150"/>
        <c:overlap val="0"/>
        <c:axId val="81753305"/>
        <c:axId val="22147858"/>
      </c:barChart>
      <c:catAx>
        <c:axId val="817533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47858"/>
        <c:crosses val="autoZero"/>
        <c:auto val="1"/>
        <c:lblAlgn val="ctr"/>
        <c:lblOffset val="100"/>
        <c:noMultiLvlLbl val="0"/>
      </c:catAx>
      <c:valAx>
        <c:axId val="221478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533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FY2025 Revenue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Data_Channel!C3</c:f>
              <c:strCache>
                <c:ptCount val="1"/>
                <c:pt idx="0">
                  <c:v>FY2025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Data_Channel!$A$4:$A$6</c:f>
              <c:strCache>
                <c:ptCount val="3"/>
                <c:pt idx="0">
                  <c:v>Online</c:v>
                </c:pt>
                <c:pt idx="1">
                  <c:v>Retail</c:v>
                </c:pt>
                <c:pt idx="2">
                  <c:v>Wholesale</c:v>
                </c:pt>
              </c:strCache>
            </c:strRef>
          </c:cat>
          <c:val>
            <c:numRef>
              <c:f>Data_Channel!$C$4:$C$6</c:f>
              <c:numCache>
                <c:formatCode>\$#,##0;"($"#,##0\);\-</c:formatCode>
                <c:ptCount val="3"/>
                <c:pt idx="0">
                  <c:v>3678634.28</c:v>
                </c:pt>
                <c:pt idx="1">
                  <c:v>2034861.94</c:v>
                </c:pt>
                <c:pt idx="2">
                  <c:v>13008622.65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131040</xdr:rowOff>
    </xdr:from>
    <xdr:to>
      <xdr:col>10</xdr:col>
      <xdr:colOff>166320</xdr:colOff>
      <xdr:row>21</xdr:row>
      <xdr:rowOff>142560</xdr:rowOff>
    </xdr:to>
    <xdr:graphicFrame>
      <xdr:nvGraphicFramePr>
        <xdr:cNvPr id="0" name="Chart 1"/>
        <xdr:cNvGraphicFramePr/>
      </xdr:nvGraphicFramePr>
      <xdr:xfrm>
        <a:off x="0" y="130500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5</xdr:row>
      <xdr:rowOff>131040</xdr:rowOff>
    </xdr:from>
    <xdr:to>
      <xdr:col>20</xdr:col>
      <xdr:colOff>147600</xdr:colOff>
      <xdr:row>21</xdr:row>
      <xdr:rowOff>142560</xdr:rowOff>
    </xdr:to>
    <xdr:graphicFrame>
      <xdr:nvGraphicFramePr>
        <xdr:cNvPr id="1" name="Chart 2"/>
        <xdr:cNvGraphicFramePr/>
      </xdr:nvGraphicFramePr>
      <xdr:xfrm>
        <a:off x="9304200" y="130500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130680</xdr:rowOff>
    </xdr:from>
    <xdr:to>
      <xdr:col>5</xdr:col>
      <xdr:colOff>442800</xdr:colOff>
      <xdr:row>40</xdr:row>
      <xdr:rowOff>142560</xdr:rowOff>
    </xdr:to>
    <xdr:graphicFrame>
      <xdr:nvGraphicFramePr>
        <xdr:cNvPr id="2" name="Chart 3"/>
        <xdr:cNvGraphicFramePr/>
      </xdr:nvGraphicFramePr>
      <xdr:xfrm>
        <a:off x="0" y="492444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</row>
    <row r="5" customFormat="false" ht="27.75" hidden="false" customHeight="true" outlineLevel="0" collapsed="false">
      <c r="A5" s="4" t="n">
        <f aca="false">Data_Monthly!C27</f>
        <v>2795696.82</v>
      </c>
      <c r="B5" s="4"/>
      <c r="C5" s="5" t="n">
        <f aca="false">Data_Monthly!F27</f>
        <v>0.248304167237603</v>
      </c>
      <c r="D5" s="5"/>
      <c r="E5" s="5" t="n">
        <f aca="false">Data_Monthly!G27</f>
        <v>0.246414723448381</v>
      </c>
      <c r="F5" s="5"/>
      <c r="G5" s="4" t="n">
        <f aca="false">Data_Monthly!I27</f>
        <v>18722118.87</v>
      </c>
      <c r="H5" s="4"/>
      <c r="I5" s="5" t="n">
        <f aca="false">SUM(Data_Monthly!D4:D27)/SUM(Data_Monthly!C4:C27)</f>
        <v>0.503552819640272</v>
      </c>
      <c r="J5" s="5"/>
    </row>
    <row r="26" customFormat="false" ht="15" hidden="false" customHeight="false" outlineLevel="0" collapsed="false">
      <c r="M26" s="6" t="s">
        <v>7</v>
      </c>
    </row>
    <row r="27" customFormat="false" ht="15" hidden="false" customHeight="false" outlineLevel="0" collapsed="false">
      <c r="M27" s="7" t="s">
        <v>8</v>
      </c>
      <c r="N27" s="7" t="s">
        <v>9</v>
      </c>
      <c r="O27" s="7" t="s">
        <v>10</v>
      </c>
    </row>
    <row r="28" customFormat="false" ht="15" hidden="false" customHeight="false" outlineLevel="0" collapsed="false">
      <c r="M28" s="0" t="str">
        <f aca="false">Top_Customers!B4</f>
        <v>Customer 011</v>
      </c>
      <c r="N28" s="0" t="str">
        <f aca="false">Top_Customers!D4</f>
        <v>North America</v>
      </c>
      <c r="O28" s="8" t="n">
        <f aca="false">Top_Customers!E4</f>
        <v>1416013.97</v>
      </c>
    </row>
    <row r="29" customFormat="false" ht="15" hidden="false" customHeight="false" outlineLevel="0" collapsed="false">
      <c r="M29" s="0" t="str">
        <f aca="false">Top_Customers!B5</f>
        <v>Customer 026</v>
      </c>
      <c r="N29" s="0" t="str">
        <f aca="false">Top_Customers!D5</f>
        <v>North America</v>
      </c>
      <c r="O29" s="8" t="n">
        <f aca="false">Top_Customers!E5</f>
        <v>1228490.93</v>
      </c>
    </row>
    <row r="30" customFormat="false" ht="15" hidden="false" customHeight="false" outlineLevel="0" collapsed="false">
      <c r="M30" s="0" t="str">
        <f aca="false">Top_Customers!B6</f>
        <v>Customer 021</v>
      </c>
      <c r="N30" s="0" t="str">
        <f aca="false">Top_Customers!D6</f>
        <v>North America</v>
      </c>
      <c r="O30" s="8" t="n">
        <f aca="false">Top_Customers!E6</f>
        <v>1182150.35</v>
      </c>
    </row>
    <row r="31" customFormat="false" ht="15" hidden="false" customHeight="false" outlineLevel="0" collapsed="false">
      <c r="M31" s="0" t="str">
        <f aca="false">Top_Customers!B7</f>
        <v>Customer 056</v>
      </c>
      <c r="N31" s="0" t="str">
        <f aca="false">Top_Customers!D7</f>
        <v>North America</v>
      </c>
      <c r="O31" s="8" t="n">
        <f aca="false">Top_Customers!E7</f>
        <v>1177951.22</v>
      </c>
    </row>
    <row r="32" customFormat="false" ht="15" hidden="false" customHeight="false" outlineLevel="0" collapsed="false">
      <c r="M32" s="0" t="str">
        <f aca="false">Top_Customers!B8</f>
        <v>Customer 036</v>
      </c>
      <c r="N32" s="0" t="str">
        <f aca="false">Top_Customers!D8</f>
        <v>North America</v>
      </c>
      <c r="O32" s="8" t="n">
        <f aca="false">Top_Customers!E8</f>
        <v>1141319.5</v>
      </c>
    </row>
    <row r="45" customFormat="false" ht="30" hidden="false" customHeight="true" outlineLevel="0" collapsed="false">
      <c r="A45" s="2" t="s">
        <v>11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</sheetData>
  <mergeCells count="13">
    <mergeCell ref="A1:L1"/>
    <mergeCell ref="A2:L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45:R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4" min="3" style="0" width="15"/>
    <col collapsed="false" customWidth="true" hidden="false" outlineLevel="0" max="5" min="5" style="0" width="14"/>
    <col collapsed="false" customWidth="true" hidden="false" outlineLevel="0" max="7" min="6" style="0" width="13"/>
    <col collapsed="false" customWidth="true" hidden="false" outlineLevel="0" max="8" min="8" style="0" width="20"/>
    <col collapsed="false" customWidth="true" hidden="false" outlineLevel="0" max="9" min="9" style="0" width="15"/>
  </cols>
  <sheetData>
    <row r="1" customFormat="false" ht="15" hidden="false" customHeight="false" outlineLevel="0" collapsed="false">
      <c r="A1" s="6" t="s">
        <v>12</v>
      </c>
    </row>
    <row r="3" customFormat="false" ht="28.35" hidden="false" customHeight="false" outlineLevel="0" collapsed="false">
      <c r="A3" s="9" t="s">
        <v>13</v>
      </c>
      <c r="B3" s="9" t="s">
        <v>14</v>
      </c>
      <c r="C3" s="9" t="s">
        <v>15</v>
      </c>
      <c r="D3" s="9" t="s">
        <v>16</v>
      </c>
      <c r="E3" s="9" t="s">
        <v>17</v>
      </c>
      <c r="F3" s="9" t="s">
        <v>3</v>
      </c>
      <c r="G3" s="9" t="s">
        <v>4</v>
      </c>
      <c r="H3" s="9" t="s">
        <v>18</v>
      </c>
      <c r="I3" s="9" t="s">
        <v>19</v>
      </c>
    </row>
    <row r="4" customFormat="false" ht="15" hidden="false" customHeight="false" outlineLevel="0" collapsed="false">
      <c r="A4" s="10" t="s">
        <v>20</v>
      </c>
      <c r="B4" s="11" t="n">
        <v>372</v>
      </c>
      <c r="C4" s="12" t="n">
        <v>1004033.14</v>
      </c>
      <c r="D4" s="12" t="n">
        <v>514305.14</v>
      </c>
      <c r="E4" s="13" t="n">
        <f aca="false">D4/C4</f>
        <v>0.512239207562412</v>
      </c>
      <c r="F4" s="14"/>
      <c r="G4" s="14"/>
      <c r="H4" s="8" t="n">
        <f aca="false">AVERAGE(C4:C4)</f>
        <v>1004033.14</v>
      </c>
      <c r="I4" s="15" t="n">
        <f aca="false">C4</f>
        <v>1004033.14</v>
      </c>
    </row>
    <row r="5" customFormat="false" ht="15" hidden="false" customHeight="false" outlineLevel="0" collapsed="false">
      <c r="A5" s="10" t="s">
        <v>21</v>
      </c>
      <c r="B5" s="11" t="n">
        <v>387</v>
      </c>
      <c r="C5" s="12" t="n">
        <v>848108.49</v>
      </c>
      <c r="D5" s="12" t="n">
        <v>454347.49</v>
      </c>
      <c r="E5" s="13" t="n">
        <f aca="false">D5/C5</f>
        <v>0.535718596567758</v>
      </c>
      <c r="F5" s="13" t="n">
        <f aca="false">IFERROR(C5/C4-1,"")</f>
        <v>-0.155298310173308</v>
      </c>
      <c r="G5" s="14"/>
      <c r="H5" s="8" t="n">
        <f aca="false">AVERAGE(C4:C5)</f>
        <v>926070.815</v>
      </c>
      <c r="I5" s="15" t="n">
        <f aca="false">I4+C5</f>
        <v>1852141.63</v>
      </c>
    </row>
    <row r="6" customFormat="false" ht="15" hidden="false" customHeight="false" outlineLevel="0" collapsed="false">
      <c r="A6" s="10" t="s">
        <v>22</v>
      </c>
      <c r="B6" s="11" t="n">
        <v>503</v>
      </c>
      <c r="C6" s="12" t="n">
        <v>1502987.63</v>
      </c>
      <c r="D6" s="12" t="n">
        <v>740246.63</v>
      </c>
      <c r="E6" s="13" t="n">
        <f aca="false">D6/C6</f>
        <v>0.492516781392273</v>
      </c>
      <c r="F6" s="13" t="n">
        <f aca="false">IFERROR(C6/C5-1,"")</f>
        <v>0.772164348926633</v>
      </c>
      <c r="G6" s="14"/>
      <c r="H6" s="8" t="n">
        <f aca="false">AVERAGE(C4:C6)</f>
        <v>1118376.42</v>
      </c>
      <c r="I6" s="15" t="n">
        <f aca="false">I5+C6</f>
        <v>3355129.26</v>
      </c>
    </row>
    <row r="7" customFormat="false" ht="15" hidden="false" customHeight="false" outlineLevel="0" collapsed="false">
      <c r="A7" s="10" t="s">
        <v>23</v>
      </c>
      <c r="B7" s="11" t="n">
        <v>489</v>
      </c>
      <c r="C7" s="12" t="n">
        <v>1625213.91</v>
      </c>
      <c r="D7" s="12" t="n">
        <v>803933.91</v>
      </c>
      <c r="E7" s="13" t="n">
        <f aca="false">D7/C7</f>
        <v>0.49466344402627</v>
      </c>
      <c r="F7" s="13" t="n">
        <f aca="false">IFERROR(C7/C6-1,"")</f>
        <v>0.0813222128780926</v>
      </c>
      <c r="G7" s="14"/>
      <c r="H7" s="8" t="n">
        <f aca="false">AVERAGE(C5:C7)</f>
        <v>1325436.67666667</v>
      </c>
      <c r="I7" s="15" t="n">
        <f aca="false">I6+C7</f>
        <v>4980343.17</v>
      </c>
    </row>
    <row r="8" customFormat="false" ht="15" hidden="false" customHeight="false" outlineLevel="0" collapsed="false">
      <c r="A8" s="10" t="s">
        <v>24</v>
      </c>
      <c r="B8" s="11" t="n">
        <v>565</v>
      </c>
      <c r="C8" s="12" t="n">
        <v>1609491.04</v>
      </c>
      <c r="D8" s="12" t="n">
        <v>798952.04</v>
      </c>
      <c r="E8" s="13" t="n">
        <f aca="false">D8/C8</f>
        <v>0.496400427305268</v>
      </c>
      <c r="F8" s="13" t="n">
        <f aca="false">IFERROR(C8/C7-1,"")</f>
        <v>-0.0096743388074988</v>
      </c>
      <c r="G8" s="14"/>
      <c r="H8" s="8" t="n">
        <f aca="false">AVERAGE(C6:C8)</f>
        <v>1579230.86</v>
      </c>
      <c r="I8" s="15" t="n">
        <f aca="false">I7+C8</f>
        <v>6589834.21</v>
      </c>
    </row>
    <row r="9" customFormat="false" ht="15" hidden="false" customHeight="false" outlineLevel="0" collapsed="false">
      <c r="A9" s="10" t="s">
        <v>25</v>
      </c>
      <c r="B9" s="11" t="n">
        <v>502</v>
      </c>
      <c r="C9" s="12" t="n">
        <v>1325122.71</v>
      </c>
      <c r="D9" s="12" t="n">
        <v>670308.71</v>
      </c>
      <c r="E9" s="13" t="n">
        <f aca="false">D9/C9</f>
        <v>0.505846518923519</v>
      </c>
      <c r="F9" s="13" t="n">
        <f aca="false">IFERROR(C9/C8-1,"")</f>
        <v>-0.176682145431515</v>
      </c>
      <c r="G9" s="14"/>
      <c r="H9" s="8" t="n">
        <f aca="false">AVERAGE(C7:C9)</f>
        <v>1519942.55333333</v>
      </c>
      <c r="I9" s="15" t="n">
        <f aca="false">I8+C9</f>
        <v>7914956.92</v>
      </c>
    </row>
    <row r="10" customFormat="false" ht="15" hidden="false" customHeight="false" outlineLevel="0" collapsed="false">
      <c r="A10" s="10" t="s">
        <v>26</v>
      </c>
      <c r="B10" s="11" t="n">
        <v>541</v>
      </c>
      <c r="C10" s="12" t="n">
        <v>1766492.67</v>
      </c>
      <c r="D10" s="12" t="n">
        <v>869298.67</v>
      </c>
      <c r="E10" s="13" t="n">
        <f aca="false">D10/C10</f>
        <v>0.492104317647692</v>
      </c>
      <c r="F10" s="13" t="n">
        <f aca="false">IFERROR(C10/C9-1,"")</f>
        <v>0.333078556928513</v>
      </c>
      <c r="G10" s="14"/>
      <c r="H10" s="8" t="n">
        <f aca="false">AVERAGE(C8:C10)</f>
        <v>1567035.47333333</v>
      </c>
      <c r="I10" s="15" t="n">
        <f aca="false">I9+C10</f>
        <v>9681449.59</v>
      </c>
    </row>
    <row r="11" customFormat="false" ht="15" hidden="false" customHeight="false" outlineLevel="0" collapsed="false">
      <c r="A11" s="10" t="s">
        <v>27</v>
      </c>
      <c r="B11" s="11" t="n">
        <v>511</v>
      </c>
      <c r="C11" s="12" t="n">
        <v>1344137.82</v>
      </c>
      <c r="D11" s="12" t="n">
        <v>665792.82</v>
      </c>
      <c r="E11" s="13" t="n">
        <f aca="false">D11/C11</f>
        <v>0.495330768983198</v>
      </c>
      <c r="F11" s="13" t="n">
        <f aca="false">IFERROR(C11/C10-1,"")</f>
        <v>-0.239092330906757</v>
      </c>
      <c r="G11" s="14"/>
      <c r="H11" s="8" t="n">
        <f aca="false">AVERAGE(C9:C11)</f>
        <v>1478584.4</v>
      </c>
      <c r="I11" s="15" t="n">
        <f aca="false">I10+C11</f>
        <v>11025587.41</v>
      </c>
    </row>
    <row r="12" customFormat="false" ht="15" hidden="false" customHeight="false" outlineLevel="0" collapsed="false">
      <c r="A12" s="10" t="s">
        <v>28</v>
      </c>
      <c r="B12" s="11" t="n">
        <v>539</v>
      </c>
      <c r="C12" s="12" t="n">
        <v>1604749.72</v>
      </c>
      <c r="D12" s="12" t="n">
        <v>784629.72</v>
      </c>
      <c r="E12" s="13" t="n">
        <f aca="false">D12/C12</f>
        <v>0.488942113664927</v>
      </c>
      <c r="F12" s="13" t="n">
        <f aca="false">IFERROR(C12/C11-1,"")</f>
        <v>0.193887781537164</v>
      </c>
      <c r="G12" s="14"/>
      <c r="H12" s="8" t="n">
        <f aca="false">AVERAGE(C10:C12)</f>
        <v>1571793.40333333</v>
      </c>
      <c r="I12" s="15" t="n">
        <f aca="false">I11+C12</f>
        <v>12630337.13</v>
      </c>
    </row>
    <row r="13" customFormat="false" ht="15" hidden="false" customHeight="false" outlineLevel="0" collapsed="false">
      <c r="A13" s="10" t="s">
        <v>29</v>
      </c>
      <c r="B13" s="11" t="n">
        <v>654</v>
      </c>
      <c r="C13" s="12" t="n">
        <v>1587225.59</v>
      </c>
      <c r="D13" s="12" t="n">
        <v>801412.59</v>
      </c>
      <c r="E13" s="13" t="n">
        <f aca="false">D13/C13</f>
        <v>0.504914106129047</v>
      </c>
      <c r="F13" s="13" t="n">
        <f aca="false">IFERROR(C13/C12-1,"")</f>
        <v>-0.0109201639243781</v>
      </c>
      <c r="G13" s="14"/>
      <c r="H13" s="8" t="n">
        <f aca="false">AVERAGE(C11:C13)</f>
        <v>1512037.71</v>
      </c>
      <c r="I13" s="15" t="n">
        <f aca="false">I12+C13</f>
        <v>14217562.72</v>
      </c>
    </row>
    <row r="14" customFormat="false" ht="15" hidden="false" customHeight="false" outlineLevel="0" collapsed="false">
      <c r="A14" s="10" t="s">
        <v>30</v>
      </c>
      <c r="B14" s="11" t="n">
        <v>781</v>
      </c>
      <c r="C14" s="12" t="n">
        <v>2470827.75</v>
      </c>
      <c r="D14" s="12" t="n">
        <v>1220266.75</v>
      </c>
      <c r="E14" s="13" t="n">
        <f aca="false">D14/C14</f>
        <v>0.49386961515225</v>
      </c>
      <c r="F14" s="13" t="n">
        <f aca="false">IFERROR(C14/C13-1,"")</f>
        <v>0.556696014458789</v>
      </c>
      <c r="G14" s="14"/>
      <c r="H14" s="8" t="n">
        <f aca="false">AVERAGE(C12:C14)</f>
        <v>1887601.02</v>
      </c>
      <c r="I14" s="15" t="n">
        <f aca="false">I13+C14</f>
        <v>16688390.47</v>
      </c>
    </row>
    <row r="15" customFormat="false" ht="15" hidden="false" customHeight="false" outlineLevel="0" collapsed="false">
      <c r="A15" s="10" t="s">
        <v>31</v>
      </c>
      <c r="B15" s="11" t="n">
        <v>803</v>
      </c>
      <c r="C15" s="12" t="n">
        <v>2242990.85</v>
      </c>
      <c r="D15" s="12" t="n">
        <v>1119678.85</v>
      </c>
      <c r="E15" s="13" t="n">
        <f aca="false">D15/C15</f>
        <v>0.499190110383197</v>
      </c>
      <c r="F15" s="13" t="n">
        <f aca="false">IFERROR(C15/C14-1,"")</f>
        <v>-0.0922107581153724</v>
      </c>
      <c r="G15" s="14"/>
      <c r="H15" s="8" t="n">
        <f aca="false">AVERAGE(C13:C15)</f>
        <v>2100348.06333333</v>
      </c>
      <c r="I15" s="15" t="n">
        <f aca="false">I14+C15</f>
        <v>18931381.32</v>
      </c>
    </row>
    <row r="16" customFormat="false" ht="15" hidden="false" customHeight="false" outlineLevel="0" collapsed="false">
      <c r="A16" s="10" t="s">
        <v>32</v>
      </c>
      <c r="B16" s="11" t="n">
        <v>462</v>
      </c>
      <c r="C16" s="12" t="n">
        <v>1263567.4</v>
      </c>
      <c r="D16" s="12" t="n">
        <v>626837.4</v>
      </c>
      <c r="E16" s="13" t="n">
        <f aca="false">D16/C16</f>
        <v>0.496085448231729</v>
      </c>
      <c r="F16" s="13" t="n">
        <f aca="false">IFERROR(C16/C15-1,"")</f>
        <v>-0.436659583341591</v>
      </c>
      <c r="G16" s="13" t="n">
        <f aca="false">IFERROR(C16/C4-1,"")</f>
        <v>0.258491726677468</v>
      </c>
      <c r="H16" s="8" t="n">
        <f aca="false">AVERAGE(C14:C16)</f>
        <v>1992462</v>
      </c>
      <c r="I16" s="15" t="n">
        <f aca="false">C16</f>
        <v>1263567.4</v>
      </c>
    </row>
    <row r="17" customFormat="false" ht="15" hidden="false" customHeight="false" outlineLevel="0" collapsed="false">
      <c r="A17" s="10" t="s">
        <v>33</v>
      </c>
      <c r="B17" s="11" t="n">
        <v>464</v>
      </c>
      <c r="C17" s="12" t="n">
        <v>1173358.73</v>
      </c>
      <c r="D17" s="12" t="n">
        <v>608539.73</v>
      </c>
      <c r="E17" s="13" t="n">
        <f aca="false">D17/C17</f>
        <v>0.518630589640732</v>
      </c>
      <c r="F17" s="13" t="n">
        <f aca="false">IFERROR(C17/C16-1,"")</f>
        <v>-0.0713920523748871</v>
      </c>
      <c r="G17" s="13" t="n">
        <f aca="false">IFERROR(C17/C5-1,"")</f>
        <v>0.383500747646094</v>
      </c>
      <c r="H17" s="8" t="n">
        <f aca="false">AVERAGE(C15:C17)</f>
        <v>1559972.32666667</v>
      </c>
      <c r="I17" s="15" t="n">
        <f aca="false">I16+C17</f>
        <v>2436926.13</v>
      </c>
    </row>
    <row r="18" customFormat="false" ht="15" hidden="false" customHeight="false" outlineLevel="0" collapsed="false">
      <c r="A18" s="10" t="s">
        <v>34</v>
      </c>
      <c r="B18" s="11" t="n">
        <v>529</v>
      </c>
      <c r="C18" s="12" t="n">
        <v>1072009.25</v>
      </c>
      <c r="D18" s="12" t="n">
        <v>571397.25</v>
      </c>
      <c r="E18" s="13" t="n">
        <f aca="false">D18/C18</f>
        <v>0.533015223516029</v>
      </c>
      <c r="F18" s="13" t="n">
        <f aca="false">IFERROR(C18/C17-1,"")</f>
        <v>-0.0863755281387816</v>
      </c>
      <c r="G18" s="13" t="n">
        <f aca="false">IFERROR(C18/C6-1,"")</f>
        <v>-0.286747789135164</v>
      </c>
      <c r="H18" s="8" t="n">
        <f aca="false">AVERAGE(C16:C18)</f>
        <v>1169645.12666667</v>
      </c>
      <c r="I18" s="15" t="n">
        <f aca="false">I17+C18</f>
        <v>3508935.38</v>
      </c>
    </row>
    <row r="19" customFormat="false" ht="15" hidden="false" customHeight="false" outlineLevel="0" collapsed="false">
      <c r="A19" s="10" t="s">
        <v>35</v>
      </c>
      <c r="B19" s="11" t="n">
        <v>565</v>
      </c>
      <c r="C19" s="12" t="n">
        <v>1364719.71</v>
      </c>
      <c r="D19" s="12" t="n">
        <v>724730.71</v>
      </c>
      <c r="E19" s="13" t="n">
        <f aca="false">D19/C19</f>
        <v>0.531047294685881</v>
      </c>
      <c r="F19" s="13" t="n">
        <f aca="false">IFERROR(C19/C18-1,"")</f>
        <v>0.27304844617712</v>
      </c>
      <c r="G19" s="13" t="n">
        <f aca="false">IFERROR(C19/C7-1,"")</f>
        <v>-0.160283023912834</v>
      </c>
      <c r="H19" s="8" t="n">
        <f aca="false">AVERAGE(C17:C19)</f>
        <v>1203362.56333333</v>
      </c>
      <c r="I19" s="15" t="n">
        <f aca="false">I18+C19</f>
        <v>4873655.09</v>
      </c>
    </row>
    <row r="20" customFormat="false" ht="15" hidden="false" customHeight="false" outlineLevel="0" collapsed="false">
      <c r="A20" s="10" t="s">
        <v>36</v>
      </c>
      <c r="B20" s="11" t="n">
        <v>549</v>
      </c>
      <c r="C20" s="12" t="n">
        <v>1446403.19</v>
      </c>
      <c r="D20" s="12" t="n">
        <v>721201.19</v>
      </c>
      <c r="E20" s="13" t="n">
        <f aca="false">D20/C20</f>
        <v>0.498616979681855</v>
      </c>
      <c r="F20" s="13" t="n">
        <f aca="false">IFERROR(C20/C19-1,"")</f>
        <v>0.0598536676809629</v>
      </c>
      <c r="G20" s="13" t="n">
        <f aca="false">IFERROR(C20/C8-1,"")</f>
        <v>-0.101328833741131</v>
      </c>
      <c r="H20" s="8" t="n">
        <f aca="false">AVERAGE(C18:C20)</f>
        <v>1294377.38333333</v>
      </c>
      <c r="I20" s="15" t="n">
        <f aca="false">I19+C20</f>
        <v>6320058.28</v>
      </c>
    </row>
    <row r="21" customFormat="false" ht="15" hidden="false" customHeight="false" outlineLevel="0" collapsed="false">
      <c r="A21" s="10" t="s">
        <v>37</v>
      </c>
      <c r="B21" s="11" t="n">
        <v>570</v>
      </c>
      <c r="C21" s="12" t="n">
        <v>1274057.77</v>
      </c>
      <c r="D21" s="12" t="n">
        <v>668147.77</v>
      </c>
      <c r="E21" s="13" t="n">
        <f aca="false">D21/C21</f>
        <v>0.524425018812138</v>
      </c>
      <c r="F21" s="13" t="n">
        <f aca="false">IFERROR(C21/C20-1,"")</f>
        <v>-0.119154480017429</v>
      </c>
      <c r="G21" s="13" t="n">
        <f aca="false">IFERROR(C21/C9-1,"")</f>
        <v>-0.0385360084878479</v>
      </c>
      <c r="H21" s="8" t="n">
        <f aca="false">AVERAGE(C19:C21)</f>
        <v>1361726.89</v>
      </c>
      <c r="I21" s="15" t="n">
        <f aca="false">I20+C21</f>
        <v>7594116.05</v>
      </c>
    </row>
    <row r="22" customFormat="false" ht="15" hidden="false" customHeight="false" outlineLevel="0" collapsed="false">
      <c r="A22" s="10" t="s">
        <v>38</v>
      </c>
      <c r="B22" s="11" t="n">
        <v>530</v>
      </c>
      <c r="C22" s="12" t="n">
        <v>1373892.85</v>
      </c>
      <c r="D22" s="12" t="n">
        <v>695189.85</v>
      </c>
      <c r="E22" s="13" t="n">
        <f aca="false">D22/C22</f>
        <v>0.506000049421612</v>
      </c>
      <c r="F22" s="13" t="n">
        <f aca="false">IFERROR(C22/C21-1,"")</f>
        <v>0.0783599318263253</v>
      </c>
      <c r="G22" s="13" t="n">
        <f aca="false">IFERROR(C22/C10-1,"")</f>
        <v>-0.22224820213944</v>
      </c>
      <c r="H22" s="8" t="n">
        <f aca="false">AVERAGE(C20:C22)</f>
        <v>1364784.60333333</v>
      </c>
      <c r="I22" s="15" t="n">
        <f aca="false">I21+C22</f>
        <v>8968008.9</v>
      </c>
    </row>
    <row r="23" customFormat="false" ht="15" hidden="false" customHeight="false" outlineLevel="0" collapsed="false">
      <c r="A23" s="10" t="s">
        <v>39</v>
      </c>
      <c r="B23" s="11" t="n">
        <v>620</v>
      </c>
      <c r="C23" s="12" t="n">
        <v>1420271.33</v>
      </c>
      <c r="D23" s="12" t="n">
        <v>733601.33</v>
      </c>
      <c r="E23" s="13" t="n">
        <f aca="false">D23/C23</f>
        <v>0.516521959223101</v>
      </c>
      <c r="F23" s="13" t="n">
        <f aca="false">IFERROR(C23/C22-1,"")</f>
        <v>0.0337569847604928</v>
      </c>
      <c r="G23" s="13" t="n">
        <f aca="false">IFERROR(C23/C11-1,"")</f>
        <v>0.056641148598884</v>
      </c>
      <c r="H23" s="8" t="n">
        <f aca="false">AVERAGE(C21:C23)</f>
        <v>1356073.98333333</v>
      </c>
      <c r="I23" s="15" t="n">
        <f aca="false">I22+C23</f>
        <v>10388280.23</v>
      </c>
    </row>
    <row r="24" customFormat="false" ht="15" hidden="false" customHeight="false" outlineLevel="0" collapsed="false">
      <c r="A24" s="10" t="s">
        <v>40</v>
      </c>
      <c r="B24" s="11" t="n">
        <v>555</v>
      </c>
      <c r="C24" s="12" t="n">
        <v>1369692.29</v>
      </c>
      <c r="D24" s="12" t="n">
        <v>692511.29</v>
      </c>
      <c r="E24" s="13" t="n">
        <f aca="false">D24/C24</f>
        <v>0.505596253301535</v>
      </c>
      <c r="F24" s="13" t="n">
        <f aca="false">IFERROR(C24/C23-1,"")</f>
        <v>-0.0356122375574532</v>
      </c>
      <c r="G24" s="13" t="n">
        <f aca="false">IFERROR(C24/C12-1,"")</f>
        <v>-0.14647606855479</v>
      </c>
      <c r="H24" s="8" t="n">
        <f aca="false">AVERAGE(C22:C24)</f>
        <v>1387952.15666667</v>
      </c>
      <c r="I24" s="15" t="n">
        <f aca="false">I23+C24</f>
        <v>11757972.52</v>
      </c>
    </row>
    <row r="25" customFormat="false" ht="15" hidden="false" customHeight="false" outlineLevel="0" collapsed="false">
      <c r="A25" s="10" t="s">
        <v>41</v>
      </c>
      <c r="B25" s="11" t="n">
        <v>698</v>
      </c>
      <c r="C25" s="12" t="n">
        <v>1928853.69</v>
      </c>
      <c r="D25" s="12" t="n">
        <v>973381.69</v>
      </c>
      <c r="E25" s="13" t="n">
        <f aca="false">D25/C25</f>
        <v>0.504642573486224</v>
      </c>
      <c r="F25" s="13" t="n">
        <f aca="false">IFERROR(C25/C24-1,"")</f>
        <v>0.408238700095187</v>
      </c>
      <c r="G25" s="13" t="n">
        <f aca="false">IFERROR(C25/C13-1,"")</f>
        <v>0.215236008134168</v>
      </c>
      <c r="H25" s="8" t="n">
        <f aca="false">AVERAGE(C23:C25)</f>
        <v>1572939.10333333</v>
      </c>
      <c r="I25" s="15" t="n">
        <f aca="false">I24+C25</f>
        <v>13686826.21</v>
      </c>
    </row>
    <row r="26" customFormat="false" ht="15" hidden="false" customHeight="false" outlineLevel="0" collapsed="false">
      <c r="A26" s="10" t="s">
        <v>42</v>
      </c>
      <c r="B26" s="11" t="n">
        <v>847</v>
      </c>
      <c r="C26" s="12" t="n">
        <v>2239595.84</v>
      </c>
      <c r="D26" s="12" t="n">
        <v>1119549.84</v>
      </c>
      <c r="E26" s="13" t="n">
        <f aca="false">D26/C26</f>
        <v>0.49988923001393</v>
      </c>
      <c r="F26" s="13" t="n">
        <f aca="false">IFERROR(C26/C25-1,"")</f>
        <v>0.161101980731364</v>
      </c>
      <c r="G26" s="13" t="n">
        <f aca="false">IFERROR(C26/C14-1,"")</f>
        <v>-0.0935847956216293</v>
      </c>
      <c r="H26" s="8" t="n">
        <f aca="false">AVERAGE(C24:C26)</f>
        <v>1846047.27333333</v>
      </c>
      <c r="I26" s="15" t="n">
        <f aca="false">I25+C26</f>
        <v>15926422.05</v>
      </c>
    </row>
    <row r="27" customFormat="false" ht="15" hidden="false" customHeight="false" outlineLevel="0" collapsed="false">
      <c r="A27" s="10" t="s">
        <v>43</v>
      </c>
      <c r="B27" s="11" t="n">
        <v>964</v>
      </c>
      <c r="C27" s="12" t="n">
        <v>2795696.82</v>
      </c>
      <c r="D27" s="12" t="n">
        <v>1382264.82</v>
      </c>
      <c r="E27" s="13" t="n">
        <f aca="false">D27/C27</f>
        <v>0.494425865534304</v>
      </c>
      <c r="F27" s="13" t="n">
        <f aca="false">IFERROR(C27/C26-1,"")</f>
        <v>0.248304167237603</v>
      </c>
      <c r="G27" s="13" t="n">
        <f aca="false">IFERROR(C27/C15-1,"")</f>
        <v>0.246414723448381</v>
      </c>
      <c r="H27" s="8" t="n">
        <f aca="false">AVERAGE(C25:C27)</f>
        <v>2321382.11666667</v>
      </c>
      <c r="I27" s="15" t="n">
        <f aca="false">I26+C27</f>
        <v>18722118.87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14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6" t="s">
        <v>44</v>
      </c>
    </row>
    <row r="3" customFormat="false" ht="15" hidden="false" customHeight="false" outlineLevel="0" collapsed="false">
      <c r="A3" s="7" t="s">
        <v>9</v>
      </c>
      <c r="B3" s="7" t="s">
        <v>45</v>
      </c>
      <c r="C3" s="7" t="s">
        <v>46</v>
      </c>
      <c r="D3" s="7" t="s">
        <v>4</v>
      </c>
      <c r="E3" s="7" t="s">
        <v>47</v>
      </c>
    </row>
    <row r="4" customFormat="false" ht="15" hidden="false" customHeight="false" outlineLevel="0" collapsed="false">
      <c r="A4" s="10" t="s">
        <v>48</v>
      </c>
      <c r="B4" s="12" t="n">
        <v>2500409.12</v>
      </c>
      <c r="C4" s="12" t="n">
        <v>2573786.81</v>
      </c>
      <c r="D4" s="13" t="n">
        <f aca="false">C4/B4-1</f>
        <v>0.0293462735410275</v>
      </c>
      <c r="E4" s="13" t="n">
        <f aca="false">C4/SUM($C$4:$C$8)</f>
        <v>0.137473051414292</v>
      </c>
    </row>
    <row r="5" customFormat="false" ht="15" hidden="false" customHeight="false" outlineLevel="0" collapsed="false">
      <c r="A5" s="10" t="s">
        <v>49</v>
      </c>
      <c r="B5" s="12" t="n">
        <v>4627658.57</v>
      </c>
      <c r="C5" s="12" t="n">
        <v>4548997.25</v>
      </c>
      <c r="D5" s="13" t="n">
        <f aca="false">C5/B5-1</f>
        <v>-0.0169980820343884</v>
      </c>
      <c r="E5" s="13" t="n">
        <f aca="false">C5/SUM($C$4:$C$8)</f>
        <v>0.242974488175547</v>
      </c>
    </row>
    <row r="6" customFormat="false" ht="15" hidden="false" customHeight="false" outlineLevel="0" collapsed="false">
      <c r="A6" s="10" t="s">
        <v>50</v>
      </c>
      <c r="B6" s="12" t="n">
        <v>4982241.11</v>
      </c>
      <c r="C6" s="12" t="n">
        <v>3096550.13</v>
      </c>
      <c r="D6" s="13" t="n">
        <f aca="false">C6/B6-1</f>
        <v>-0.378482481752072</v>
      </c>
      <c r="E6" s="13" t="n">
        <f aca="false">C6/SUM($C$4:$C$8)</f>
        <v>0.16539528199246</v>
      </c>
    </row>
    <row r="7" customFormat="false" ht="15" hidden="false" customHeight="false" outlineLevel="0" collapsed="false">
      <c r="A7" s="10" t="s">
        <v>51</v>
      </c>
      <c r="B7" s="12" t="n">
        <v>1092050.71</v>
      </c>
      <c r="C7" s="12" t="n">
        <v>1408055.23</v>
      </c>
      <c r="D7" s="13" t="n">
        <f aca="false">C7/B7-1</f>
        <v>0.2893679909791</v>
      </c>
      <c r="E7" s="13" t="n">
        <f aca="false">C7/SUM($C$4:$C$8)</f>
        <v>0.0752081129159074</v>
      </c>
    </row>
    <row r="8" customFormat="false" ht="15" hidden="false" customHeight="false" outlineLevel="0" collapsed="false">
      <c r="A8" s="10" t="s">
        <v>52</v>
      </c>
      <c r="B8" s="12" t="n">
        <v>5729021.81</v>
      </c>
      <c r="C8" s="12" t="n">
        <v>7094729.45</v>
      </c>
      <c r="D8" s="13" t="n">
        <f aca="false">C8/B8-1</f>
        <v>0.238384088120621</v>
      </c>
      <c r="E8" s="13" t="n">
        <f aca="false">C8/SUM($C$4:$C$8)</f>
        <v>0.378949065501794</v>
      </c>
    </row>
    <row r="9" customFormat="false" ht="15" hidden="false" customHeight="false" outlineLevel="0" collapsed="false">
      <c r="A9" s="6" t="s">
        <v>53</v>
      </c>
      <c r="B9" s="16" t="n">
        <f aca="false">SUM(B4:B8)</f>
        <v>18931381.32</v>
      </c>
      <c r="C9" s="16" t="n">
        <f aca="false">SUM(C4:C8)</f>
        <v>18722118.87</v>
      </c>
      <c r="D9" s="17" t="n">
        <f aca="false">C9/B9-1</f>
        <v>-0.0110537338223136</v>
      </c>
    </row>
    <row r="12" customFormat="false" ht="15" hidden="false" customHeight="false" outlineLevel="0" collapsed="false">
      <c r="A12" s="6" t="s">
        <v>54</v>
      </c>
    </row>
    <row r="13" customFormat="false" ht="15" hidden="false" customHeight="false" outlineLevel="0" collapsed="false">
      <c r="A13" s="7" t="s">
        <v>9</v>
      </c>
      <c r="B13" s="7" t="s">
        <v>13</v>
      </c>
      <c r="C13" s="7" t="s">
        <v>15</v>
      </c>
    </row>
    <row r="14" customFormat="false" ht="15" hidden="false" customHeight="false" outlineLevel="0" collapsed="false">
      <c r="A14" s="10" t="s">
        <v>48</v>
      </c>
      <c r="B14" s="10" t="s">
        <v>20</v>
      </c>
      <c r="C14" s="12" t="n">
        <v>237539.04</v>
      </c>
    </row>
    <row r="15" customFormat="false" ht="15" hidden="false" customHeight="false" outlineLevel="0" collapsed="false">
      <c r="A15" s="10" t="s">
        <v>48</v>
      </c>
      <c r="B15" s="10" t="s">
        <v>21</v>
      </c>
      <c r="C15" s="12" t="n">
        <v>98057.68</v>
      </c>
    </row>
    <row r="16" customFormat="false" ht="15" hidden="false" customHeight="false" outlineLevel="0" collapsed="false">
      <c r="A16" s="10" t="s">
        <v>48</v>
      </c>
      <c r="B16" s="10" t="s">
        <v>22</v>
      </c>
      <c r="C16" s="12" t="n">
        <v>168158.49</v>
      </c>
    </row>
    <row r="17" customFormat="false" ht="15" hidden="false" customHeight="false" outlineLevel="0" collapsed="false">
      <c r="A17" s="10" t="s">
        <v>48</v>
      </c>
      <c r="B17" s="10" t="s">
        <v>23</v>
      </c>
      <c r="C17" s="12" t="n">
        <v>278890.29</v>
      </c>
    </row>
    <row r="18" customFormat="false" ht="15" hidden="false" customHeight="false" outlineLevel="0" collapsed="false">
      <c r="A18" s="10" t="s">
        <v>48</v>
      </c>
      <c r="B18" s="10" t="s">
        <v>24</v>
      </c>
      <c r="C18" s="12" t="n">
        <v>186600.84</v>
      </c>
    </row>
    <row r="19" customFormat="false" ht="15" hidden="false" customHeight="false" outlineLevel="0" collapsed="false">
      <c r="A19" s="10" t="s">
        <v>48</v>
      </c>
      <c r="B19" s="10" t="s">
        <v>25</v>
      </c>
      <c r="C19" s="12" t="n">
        <v>166801.79</v>
      </c>
    </row>
    <row r="20" customFormat="false" ht="15" hidden="false" customHeight="false" outlineLevel="0" collapsed="false">
      <c r="A20" s="10" t="s">
        <v>48</v>
      </c>
      <c r="B20" s="10" t="s">
        <v>26</v>
      </c>
      <c r="C20" s="12" t="n">
        <v>218357.76</v>
      </c>
    </row>
    <row r="21" customFormat="false" ht="15" hidden="false" customHeight="false" outlineLevel="0" collapsed="false">
      <c r="A21" s="10" t="s">
        <v>48</v>
      </c>
      <c r="B21" s="10" t="s">
        <v>27</v>
      </c>
      <c r="C21" s="12" t="n">
        <v>143763.49</v>
      </c>
    </row>
    <row r="22" customFormat="false" ht="15" hidden="false" customHeight="false" outlineLevel="0" collapsed="false">
      <c r="A22" s="10" t="s">
        <v>48</v>
      </c>
      <c r="B22" s="10" t="s">
        <v>28</v>
      </c>
      <c r="C22" s="12" t="n">
        <v>173792.91</v>
      </c>
    </row>
    <row r="23" customFormat="false" ht="15" hidden="false" customHeight="false" outlineLevel="0" collapsed="false">
      <c r="A23" s="10" t="s">
        <v>48</v>
      </c>
      <c r="B23" s="10" t="s">
        <v>29</v>
      </c>
      <c r="C23" s="12" t="n">
        <v>249582.48</v>
      </c>
    </row>
    <row r="24" customFormat="false" ht="15" hidden="false" customHeight="false" outlineLevel="0" collapsed="false">
      <c r="A24" s="10" t="s">
        <v>48</v>
      </c>
      <c r="B24" s="10" t="s">
        <v>30</v>
      </c>
      <c r="C24" s="12" t="n">
        <v>255814.64</v>
      </c>
    </row>
    <row r="25" customFormat="false" ht="15" hidden="false" customHeight="false" outlineLevel="0" collapsed="false">
      <c r="A25" s="10" t="s">
        <v>48</v>
      </c>
      <c r="B25" s="10" t="s">
        <v>31</v>
      </c>
      <c r="C25" s="12" t="n">
        <v>323049.71</v>
      </c>
    </row>
    <row r="26" customFormat="false" ht="15" hidden="false" customHeight="false" outlineLevel="0" collapsed="false">
      <c r="A26" s="10" t="s">
        <v>48</v>
      </c>
      <c r="B26" s="10" t="s">
        <v>32</v>
      </c>
      <c r="C26" s="12" t="n">
        <v>293073.61</v>
      </c>
    </row>
    <row r="27" customFormat="false" ht="15" hidden="false" customHeight="false" outlineLevel="0" collapsed="false">
      <c r="A27" s="10" t="s">
        <v>48</v>
      </c>
      <c r="B27" s="10" t="s">
        <v>33</v>
      </c>
      <c r="C27" s="12" t="n">
        <v>192400.57</v>
      </c>
    </row>
    <row r="28" customFormat="false" ht="15" hidden="false" customHeight="false" outlineLevel="0" collapsed="false">
      <c r="A28" s="10" t="s">
        <v>48</v>
      </c>
      <c r="B28" s="10" t="s">
        <v>34</v>
      </c>
      <c r="C28" s="12" t="n">
        <v>164869.57</v>
      </c>
    </row>
    <row r="29" customFormat="false" ht="15" hidden="false" customHeight="false" outlineLevel="0" collapsed="false">
      <c r="A29" s="10" t="s">
        <v>48</v>
      </c>
      <c r="B29" s="10" t="s">
        <v>35</v>
      </c>
      <c r="C29" s="12" t="n">
        <v>88496.75</v>
      </c>
    </row>
    <row r="30" customFormat="false" ht="15" hidden="false" customHeight="false" outlineLevel="0" collapsed="false">
      <c r="A30" s="10" t="s">
        <v>48</v>
      </c>
      <c r="B30" s="10" t="s">
        <v>36</v>
      </c>
      <c r="C30" s="12" t="n">
        <v>245857.41</v>
      </c>
    </row>
    <row r="31" customFormat="false" ht="15" hidden="false" customHeight="false" outlineLevel="0" collapsed="false">
      <c r="A31" s="10" t="s">
        <v>48</v>
      </c>
      <c r="B31" s="10" t="s">
        <v>37</v>
      </c>
      <c r="C31" s="12" t="n">
        <v>176163.74</v>
      </c>
    </row>
    <row r="32" customFormat="false" ht="15" hidden="false" customHeight="false" outlineLevel="0" collapsed="false">
      <c r="A32" s="10" t="s">
        <v>48</v>
      </c>
      <c r="B32" s="10" t="s">
        <v>38</v>
      </c>
      <c r="C32" s="12" t="n">
        <v>150713.95</v>
      </c>
    </row>
    <row r="33" customFormat="false" ht="15" hidden="false" customHeight="false" outlineLevel="0" collapsed="false">
      <c r="A33" s="10" t="s">
        <v>48</v>
      </c>
      <c r="B33" s="10" t="s">
        <v>39</v>
      </c>
      <c r="C33" s="12" t="n">
        <v>134207.61</v>
      </c>
    </row>
    <row r="34" customFormat="false" ht="15" hidden="false" customHeight="false" outlineLevel="0" collapsed="false">
      <c r="A34" s="10" t="s">
        <v>48</v>
      </c>
      <c r="B34" s="10" t="s">
        <v>40</v>
      </c>
      <c r="C34" s="12" t="n">
        <v>250566.97</v>
      </c>
    </row>
    <row r="35" customFormat="false" ht="15" hidden="false" customHeight="false" outlineLevel="0" collapsed="false">
      <c r="A35" s="10" t="s">
        <v>48</v>
      </c>
      <c r="B35" s="10" t="s">
        <v>41</v>
      </c>
      <c r="C35" s="12" t="n">
        <v>219938.82</v>
      </c>
    </row>
    <row r="36" customFormat="false" ht="15" hidden="false" customHeight="false" outlineLevel="0" collapsed="false">
      <c r="A36" s="10" t="s">
        <v>48</v>
      </c>
      <c r="B36" s="10" t="s">
        <v>42</v>
      </c>
      <c r="C36" s="12" t="n">
        <v>309874.44</v>
      </c>
    </row>
    <row r="37" customFormat="false" ht="15" hidden="false" customHeight="false" outlineLevel="0" collapsed="false">
      <c r="A37" s="10" t="s">
        <v>48</v>
      </c>
      <c r="B37" s="10" t="s">
        <v>43</v>
      </c>
      <c r="C37" s="12" t="n">
        <v>347623.37</v>
      </c>
    </row>
    <row r="38" customFormat="false" ht="15" hidden="false" customHeight="false" outlineLevel="0" collapsed="false">
      <c r="A38" s="10" t="s">
        <v>49</v>
      </c>
      <c r="B38" s="10" t="s">
        <v>20</v>
      </c>
      <c r="C38" s="12" t="n">
        <v>262674.16</v>
      </c>
    </row>
    <row r="39" customFormat="false" ht="15" hidden="false" customHeight="false" outlineLevel="0" collapsed="false">
      <c r="A39" s="10" t="s">
        <v>49</v>
      </c>
      <c r="B39" s="10" t="s">
        <v>21</v>
      </c>
      <c r="C39" s="12" t="n">
        <v>133190.33</v>
      </c>
    </row>
    <row r="40" customFormat="false" ht="15" hidden="false" customHeight="false" outlineLevel="0" collapsed="false">
      <c r="A40" s="10" t="s">
        <v>49</v>
      </c>
      <c r="B40" s="10" t="s">
        <v>22</v>
      </c>
      <c r="C40" s="12" t="n">
        <v>314923.08</v>
      </c>
    </row>
    <row r="41" customFormat="false" ht="15" hidden="false" customHeight="false" outlineLevel="0" collapsed="false">
      <c r="A41" s="10" t="s">
        <v>49</v>
      </c>
      <c r="B41" s="10" t="s">
        <v>23</v>
      </c>
      <c r="C41" s="12" t="n">
        <v>308170.72</v>
      </c>
    </row>
    <row r="42" customFormat="false" ht="15" hidden="false" customHeight="false" outlineLevel="0" collapsed="false">
      <c r="A42" s="10" t="s">
        <v>49</v>
      </c>
      <c r="B42" s="10" t="s">
        <v>24</v>
      </c>
      <c r="C42" s="12" t="n">
        <v>510796.71</v>
      </c>
    </row>
    <row r="43" customFormat="false" ht="15" hidden="false" customHeight="false" outlineLevel="0" collapsed="false">
      <c r="A43" s="10" t="s">
        <v>49</v>
      </c>
      <c r="B43" s="10" t="s">
        <v>25</v>
      </c>
      <c r="C43" s="12" t="n">
        <v>500616.62</v>
      </c>
    </row>
    <row r="44" customFormat="false" ht="15" hidden="false" customHeight="false" outlineLevel="0" collapsed="false">
      <c r="A44" s="10" t="s">
        <v>49</v>
      </c>
      <c r="B44" s="10" t="s">
        <v>26</v>
      </c>
      <c r="C44" s="12" t="n">
        <v>499597.49</v>
      </c>
    </row>
    <row r="45" customFormat="false" ht="15" hidden="false" customHeight="false" outlineLevel="0" collapsed="false">
      <c r="A45" s="10" t="s">
        <v>49</v>
      </c>
      <c r="B45" s="10" t="s">
        <v>27</v>
      </c>
      <c r="C45" s="12" t="n">
        <v>362848.24</v>
      </c>
    </row>
    <row r="46" customFormat="false" ht="15" hidden="false" customHeight="false" outlineLevel="0" collapsed="false">
      <c r="A46" s="10" t="s">
        <v>49</v>
      </c>
      <c r="B46" s="10" t="s">
        <v>28</v>
      </c>
      <c r="C46" s="12" t="n">
        <v>363005.24</v>
      </c>
    </row>
    <row r="47" customFormat="false" ht="15" hidden="false" customHeight="false" outlineLevel="0" collapsed="false">
      <c r="A47" s="10" t="s">
        <v>49</v>
      </c>
      <c r="B47" s="10" t="s">
        <v>29</v>
      </c>
      <c r="C47" s="12" t="n">
        <v>264487.98</v>
      </c>
    </row>
    <row r="48" customFormat="false" ht="15" hidden="false" customHeight="false" outlineLevel="0" collapsed="false">
      <c r="A48" s="10" t="s">
        <v>49</v>
      </c>
      <c r="B48" s="10" t="s">
        <v>30</v>
      </c>
      <c r="C48" s="12" t="n">
        <v>606512.35</v>
      </c>
    </row>
    <row r="49" customFormat="false" ht="15" hidden="false" customHeight="false" outlineLevel="0" collapsed="false">
      <c r="A49" s="10" t="s">
        <v>49</v>
      </c>
      <c r="B49" s="10" t="s">
        <v>31</v>
      </c>
      <c r="C49" s="12" t="n">
        <v>500835.65</v>
      </c>
    </row>
    <row r="50" customFormat="false" ht="15" hidden="false" customHeight="false" outlineLevel="0" collapsed="false">
      <c r="A50" s="10" t="s">
        <v>49</v>
      </c>
      <c r="B50" s="10" t="s">
        <v>32</v>
      </c>
      <c r="C50" s="12" t="n">
        <v>340783.63</v>
      </c>
    </row>
    <row r="51" customFormat="false" ht="15" hidden="false" customHeight="false" outlineLevel="0" collapsed="false">
      <c r="A51" s="10" t="s">
        <v>49</v>
      </c>
      <c r="B51" s="10" t="s">
        <v>33</v>
      </c>
      <c r="C51" s="12" t="n">
        <v>346520.62</v>
      </c>
    </row>
    <row r="52" customFormat="false" ht="15" hidden="false" customHeight="false" outlineLevel="0" collapsed="false">
      <c r="A52" s="10" t="s">
        <v>49</v>
      </c>
      <c r="B52" s="10" t="s">
        <v>34</v>
      </c>
      <c r="C52" s="12" t="n">
        <v>187050.33</v>
      </c>
    </row>
    <row r="53" customFormat="false" ht="15" hidden="false" customHeight="false" outlineLevel="0" collapsed="false">
      <c r="A53" s="10" t="s">
        <v>49</v>
      </c>
      <c r="B53" s="10" t="s">
        <v>35</v>
      </c>
      <c r="C53" s="12" t="n">
        <v>323004.14</v>
      </c>
    </row>
    <row r="54" customFormat="false" ht="15" hidden="false" customHeight="false" outlineLevel="0" collapsed="false">
      <c r="A54" s="10" t="s">
        <v>49</v>
      </c>
      <c r="B54" s="10" t="s">
        <v>36</v>
      </c>
      <c r="C54" s="12" t="n">
        <v>392062.95</v>
      </c>
    </row>
    <row r="55" customFormat="false" ht="15" hidden="false" customHeight="false" outlineLevel="0" collapsed="false">
      <c r="A55" s="10" t="s">
        <v>49</v>
      </c>
      <c r="B55" s="10" t="s">
        <v>37</v>
      </c>
      <c r="C55" s="12" t="n">
        <v>180549.1</v>
      </c>
    </row>
    <row r="56" customFormat="false" ht="15" hidden="false" customHeight="false" outlineLevel="0" collapsed="false">
      <c r="A56" s="10" t="s">
        <v>49</v>
      </c>
      <c r="B56" s="10" t="s">
        <v>38</v>
      </c>
      <c r="C56" s="12" t="n">
        <v>318939.19</v>
      </c>
    </row>
    <row r="57" customFormat="false" ht="15" hidden="false" customHeight="false" outlineLevel="0" collapsed="false">
      <c r="A57" s="10" t="s">
        <v>49</v>
      </c>
      <c r="B57" s="10" t="s">
        <v>39</v>
      </c>
      <c r="C57" s="12" t="n">
        <v>395572.37</v>
      </c>
    </row>
    <row r="58" customFormat="false" ht="15" hidden="false" customHeight="false" outlineLevel="0" collapsed="false">
      <c r="A58" s="10" t="s">
        <v>49</v>
      </c>
      <c r="B58" s="10" t="s">
        <v>40</v>
      </c>
      <c r="C58" s="12" t="n">
        <v>321322.92</v>
      </c>
    </row>
    <row r="59" customFormat="false" ht="15" hidden="false" customHeight="false" outlineLevel="0" collapsed="false">
      <c r="A59" s="10" t="s">
        <v>49</v>
      </c>
      <c r="B59" s="10" t="s">
        <v>41</v>
      </c>
      <c r="C59" s="12" t="n">
        <v>399824.89</v>
      </c>
    </row>
    <row r="60" customFormat="false" ht="15" hidden="false" customHeight="false" outlineLevel="0" collapsed="false">
      <c r="A60" s="10" t="s">
        <v>49</v>
      </c>
      <c r="B60" s="10" t="s">
        <v>42</v>
      </c>
      <c r="C60" s="12" t="n">
        <v>633655.32</v>
      </c>
    </row>
    <row r="61" customFormat="false" ht="15" hidden="false" customHeight="false" outlineLevel="0" collapsed="false">
      <c r="A61" s="10" t="s">
        <v>49</v>
      </c>
      <c r="B61" s="10" t="s">
        <v>43</v>
      </c>
      <c r="C61" s="12" t="n">
        <v>709711.79</v>
      </c>
    </row>
    <row r="62" customFormat="false" ht="15" hidden="false" customHeight="false" outlineLevel="0" collapsed="false">
      <c r="A62" s="10" t="s">
        <v>50</v>
      </c>
      <c r="B62" s="10" t="s">
        <v>20</v>
      </c>
      <c r="C62" s="12" t="n">
        <v>238426.78</v>
      </c>
    </row>
    <row r="63" customFormat="false" ht="15" hidden="false" customHeight="false" outlineLevel="0" collapsed="false">
      <c r="A63" s="10" t="s">
        <v>50</v>
      </c>
      <c r="B63" s="10" t="s">
        <v>21</v>
      </c>
      <c r="C63" s="12" t="n">
        <v>375502.85</v>
      </c>
    </row>
    <row r="64" customFormat="false" ht="15" hidden="false" customHeight="false" outlineLevel="0" collapsed="false">
      <c r="A64" s="10" t="s">
        <v>50</v>
      </c>
      <c r="B64" s="10" t="s">
        <v>22</v>
      </c>
      <c r="C64" s="12" t="n">
        <v>346611.05</v>
      </c>
    </row>
    <row r="65" customFormat="false" ht="15" hidden="false" customHeight="false" outlineLevel="0" collapsed="false">
      <c r="A65" s="10" t="s">
        <v>50</v>
      </c>
      <c r="B65" s="10" t="s">
        <v>23</v>
      </c>
      <c r="C65" s="12" t="n">
        <v>417989.68</v>
      </c>
    </row>
    <row r="66" customFormat="false" ht="15" hidden="false" customHeight="false" outlineLevel="0" collapsed="false">
      <c r="A66" s="10" t="s">
        <v>50</v>
      </c>
      <c r="B66" s="10" t="s">
        <v>24</v>
      </c>
      <c r="C66" s="12" t="n">
        <v>428065.8</v>
      </c>
    </row>
    <row r="67" customFormat="false" ht="15" hidden="false" customHeight="false" outlineLevel="0" collapsed="false">
      <c r="A67" s="10" t="s">
        <v>50</v>
      </c>
      <c r="B67" s="10" t="s">
        <v>25</v>
      </c>
      <c r="C67" s="12" t="n">
        <v>176279.65</v>
      </c>
    </row>
    <row r="68" customFormat="false" ht="15" hidden="false" customHeight="false" outlineLevel="0" collapsed="false">
      <c r="A68" s="10" t="s">
        <v>50</v>
      </c>
      <c r="B68" s="10" t="s">
        <v>26</v>
      </c>
      <c r="C68" s="12" t="n">
        <v>393361.59</v>
      </c>
    </row>
    <row r="69" customFormat="false" ht="15" hidden="false" customHeight="false" outlineLevel="0" collapsed="false">
      <c r="A69" s="10" t="s">
        <v>50</v>
      </c>
      <c r="B69" s="10" t="s">
        <v>27</v>
      </c>
      <c r="C69" s="12" t="n">
        <v>342997.66</v>
      </c>
    </row>
    <row r="70" customFormat="false" ht="15" hidden="false" customHeight="false" outlineLevel="0" collapsed="false">
      <c r="A70" s="10" t="s">
        <v>50</v>
      </c>
      <c r="B70" s="10" t="s">
        <v>28</v>
      </c>
      <c r="C70" s="12" t="n">
        <v>583050.04</v>
      </c>
    </row>
    <row r="71" customFormat="false" ht="15" hidden="false" customHeight="false" outlineLevel="0" collapsed="false">
      <c r="A71" s="10" t="s">
        <v>50</v>
      </c>
      <c r="B71" s="10" t="s">
        <v>29</v>
      </c>
      <c r="C71" s="12" t="n">
        <v>387043.85</v>
      </c>
    </row>
    <row r="72" customFormat="false" ht="15" hidden="false" customHeight="false" outlineLevel="0" collapsed="false">
      <c r="A72" s="10" t="s">
        <v>50</v>
      </c>
      <c r="B72" s="10" t="s">
        <v>30</v>
      </c>
      <c r="C72" s="12" t="n">
        <v>767843.86</v>
      </c>
    </row>
    <row r="73" customFormat="false" ht="15" hidden="false" customHeight="false" outlineLevel="0" collapsed="false">
      <c r="A73" s="10" t="s">
        <v>50</v>
      </c>
      <c r="B73" s="10" t="s">
        <v>31</v>
      </c>
      <c r="C73" s="12" t="n">
        <v>525068.3</v>
      </c>
    </row>
    <row r="74" customFormat="false" ht="15" hidden="false" customHeight="false" outlineLevel="0" collapsed="false">
      <c r="A74" s="10" t="s">
        <v>50</v>
      </c>
      <c r="B74" s="10" t="s">
        <v>32</v>
      </c>
      <c r="C74" s="12" t="n">
        <v>122560</v>
      </c>
    </row>
    <row r="75" customFormat="false" ht="15" hidden="false" customHeight="false" outlineLevel="0" collapsed="false">
      <c r="A75" s="10" t="s">
        <v>50</v>
      </c>
      <c r="B75" s="10" t="s">
        <v>33</v>
      </c>
      <c r="C75" s="12" t="n">
        <v>133485.4</v>
      </c>
    </row>
    <row r="76" customFormat="false" ht="15" hidden="false" customHeight="false" outlineLevel="0" collapsed="false">
      <c r="A76" s="10" t="s">
        <v>50</v>
      </c>
      <c r="B76" s="10" t="s">
        <v>34</v>
      </c>
      <c r="C76" s="12" t="n">
        <v>118718.25</v>
      </c>
    </row>
    <row r="77" customFormat="false" ht="15" hidden="false" customHeight="false" outlineLevel="0" collapsed="false">
      <c r="A77" s="10" t="s">
        <v>50</v>
      </c>
      <c r="B77" s="10" t="s">
        <v>35</v>
      </c>
      <c r="C77" s="12" t="n">
        <v>344550.57</v>
      </c>
    </row>
    <row r="78" customFormat="false" ht="15" hidden="false" customHeight="false" outlineLevel="0" collapsed="false">
      <c r="A78" s="10" t="s">
        <v>50</v>
      </c>
      <c r="B78" s="10" t="s">
        <v>36</v>
      </c>
      <c r="C78" s="12" t="n">
        <v>263765.43</v>
      </c>
    </row>
    <row r="79" customFormat="false" ht="15" hidden="false" customHeight="false" outlineLevel="0" collapsed="false">
      <c r="A79" s="10" t="s">
        <v>50</v>
      </c>
      <c r="B79" s="10" t="s">
        <v>37</v>
      </c>
      <c r="C79" s="12" t="n">
        <v>397446.83</v>
      </c>
    </row>
    <row r="80" customFormat="false" ht="15" hidden="false" customHeight="false" outlineLevel="0" collapsed="false">
      <c r="A80" s="10" t="s">
        <v>50</v>
      </c>
      <c r="B80" s="10" t="s">
        <v>38</v>
      </c>
      <c r="C80" s="12" t="n">
        <v>194073.49</v>
      </c>
    </row>
    <row r="81" customFormat="false" ht="15" hidden="false" customHeight="false" outlineLevel="0" collapsed="false">
      <c r="A81" s="10" t="s">
        <v>50</v>
      </c>
      <c r="B81" s="10" t="s">
        <v>39</v>
      </c>
      <c r="C81" s="12" t="n">
        <v>252584.05</v>
      </c>
    </row>
    <row r="82" customFormat="false" ht="15" hidden="false" customHeight="false" outlineLevel="0" collapsed="false">
      <c r="A82" s="10" t="s">
        <v>50</v>
      </c>
      <c r="B82" s="10" t="s">
        <v>40</v>
      </c>
      <c r="C82" s="12" t="n">
        <v>211367.01</v>
      </c>
    </row>
    <row r="83" customFormat="false" ht="15" hidden="false" customHeight="false" outlineLevel="0" collapsed="false">
      <c r="A83" s="10" t="s">
        <v>50</v>
      </c>
      <c r="B83" s="10" t="s">
        <v>41</v>
      </c>
      <c r="C83" s="12" t="n">
        <v>403278.47</v>
      </c>
    </row>
    <row r="84" customFormat="false" ht="15" hidden="false" customHeight="false" outlineLevel="0" collapsed="false">
      <c r="A84" s="10" t="s">
        <v>50</v>
      </c>
      <c r="B84" s="10" t="s">
        <v>42</v>
      </c>
      <c r="C84" s="12" t="n">
        <v>332860.85</v>
      </c>
    </row>
    <row r="85" customFormat="false" ht="15" hidden="false" customHeight="false" outlineLevel="0" collapsed="false">
      <c r="A85" s="10" t="s">
        <v>50</v>
      </c>
      <c r="B85" s="10" t="s">
        <v>43</v>
      </c>
      <c r="C85" s="12" t="n">
        <v>321859.78</v>
      </c>
    </row>
    <row r="86" customFormat="false" ht="15" hidden="false" customHeight="false" outlineLevel="0" collapsed="false">
      <c r="A86" s="10" t="s">
        <v>51</v>
      </c>
      <c r="B86" s="10" t="s">
        <v>20</v>
      </c>
      <c r="C86" s="12" t="n">
        <v>34268.93</v>
      </c>
    </row>
    <row r="87" customFormat="false" ht="15" hidden="false" customHeight="false" outlineLevel="0" collapsed="false">
      <c r="A87" s="10" t="s">
        <v>51</v>
      </c>
      <c r="B87" s="10" t="s">
        <v>21</v>
      </c>
      <c r="C87" s="12" t="n">
        <v>34665.57</v>
      </c>
    </row>
    <row r="88" customFormat="false" ht="15" hidden="false" customHeight="false" outlineLevel="0" collapsed="false">
      <c r="A88" s="10" t="s">
        <v>51</v>
      </c>
      <c r="B88" s="10" t="s">
        <v>22</v>
      </c>
      <c r="C88" s="12" t="n">
        <v>107859.92</v>
      </c>
    </row>
    <row r="89" customFormat="false" ht="15" hidden="false" customHeight="false" outlineLevel="0" collapsed="false">
      <c r="A89" s="10" t="s">
        <v>51</v>
      </c>
      <c r="B89" s="10" t="s">
        <v>23</v>
      </c>
      <c r="C89" s="12" t="n">
        <v>89062.94</v>
      </c>
    </row>
    <row r="90" customFormat="false" ht="15" hidden="false" customHeight="false" outlineLevel="0" collapsed="false">
      <c r="A90" s="10" t="s">
        <v>51</v>
      </c>
      <c r="B90" s="10" t="s">
        <v>24</v>
      </c>
      <c r="C90" s="12" t="n">
        <v>91665.44</v>
      </c>
    </row>
    <row r="91" customFormat="false" ht="15" hidden="false" customHeight="false" outlineLevel="0" collapsed="false">
      <c r="A91" s="10" t="s">
        <v>51</v>
      </c>
      <c r="B91" s="10" t="s">
        <v>25</v>
      </c>
      <c r="C91" s="12" t="n">
        <v>79698.79</v>
      </c>
    </row>
    <row r="92" customFormat="false" ht="15" hidden="false" customHeight="false" outlineLevel="0" collapsed="false">
      <c r="A92" s="10" t="s">
        <v>51</v>
      </c>
      <c r="B92" s="10" t="s">
        <v>26</v>
      </c>
      <c r="C92" s="12" t="n">
        <v>103438.33</v>
      </c>
    </row>
    <row r="93" customFormat="false" ht="15" hidden="false" customHeight="false" outlineLevel="0" collapsed="false">
      <c r="A93" s="10" t="s">
        <v>51</v>
      </c>
      <c r="B93" s="10" t="s">
        <v>27</v>
      </c>
      <c r="C93" s="12" t="n">
        <v>40105.94</v>
      </c>
    </row>
    <row r="94" customFormat="false" ht="15" hidden="false" customHeight="false" outlineLevel="0" collapsed="false">
      <c r="A94" s="10" t="s">
        <v>51</v>
      </c>
      <c r="B94" s="10" t="s">
        <v>28</v>
      </c>
      <c r="C94" s="12" t="n">
        <v>82144.53</v>
      </c>
    </row>
    <row r="95" customFormat="false" ht="15" hidden="false" customHeight="false" outlineLevel="0" collapsed="false">
      <c r="A95" s="10" t="s">
        <v>51</v>
      </c>
      <c r="B95" s="10" t="s">
        <v>29</v>
      </c>
      <c r="C95" s="12" t="n">
        <v>112394.87</v>
      </c>
    </row>
    <row r="96" customFormat="false" ht="15" hidden="false" customHeight="false" outlineLevel="0" collapsed="false">
      <c r="A96" s="10" t="s">
        <v>51</v>
      </c>
      <c r="B96" s="10" t="s">
        <v>30</v>
      </c>
      <c r="C96" s="12" t="n">
        <v>197639.58</v>
      </c>
    </row>
    <row r="97" customFormat="false" ht="15" hidden="false" customHeight="false" outlineLevel="0" collapsed="false">
      <c r="A97" s="10" t="s">
        <v>51</v>
      </c>
      <c r="B97" s="10" t="s">
        <v>31</v>
      </c>
      <c r="C97" s="12" t="n">
        <v>119105.87</v>
      </c>
    </row>
    <row r="98" customFormat="false" ht="15" hidden="false" customHeight="false" outlineLevel="0" collapsed="false">
      <c r="A98" s="10" t="s">
        <v>51</v>
      </c>
      <c r="B98" s="10" t="s">
        <v>32</v>
      </c>
      <c r="C98" s="12" t="n">
        <v>122476.41</v>
      </c>
    </row>
    <row r="99" customFormat="false" ht="15" hidden="false" customHeight="false" outlineLevel="0" collapsed="false">
      <c r="A99" s="10" t="s">
        <v>51</v>
      </c>
      <c r="B99" s="10" t="s">
        <v>33</v>
      </c>
      <c r="C99" s="12" t="n">
        <v>115723.22</v>
      </c>
    </row>
    <row r="100" customFormat="false" ht="15" hidden="false" customHeight="false" outlineLevel="0" collapsed="false">
      <c r="A100" s="10" t="s">
        <v>51</v>
      </c>
      <c r="B100" s="10" t="s">
        <v>34</v>
      </c>
      <c r="C100" s="12" t="n">
        <v>92926.12</v>
      </c>
    </row>
    <row r="101" customFormat="false" ht="15" hidden="false" customHeight="false" outlineLevel="0" collapsed="false">
      <c r="A101" s="10" t="s">
        <v>51</v>
      </c>
      <c r="B101" s="10" t="s">
        <v>35</v>
      </c>
      <c r="C101" s="12" t="n">
        <v>41995.6</v>
      </c>
    </row>
    <row r="102" customFormat="false" ht="15" hidden="false" customHeight="false" outlineLevel="0" collapsed="false">
      <c r="A102" s="10" t="s">
        <v>51</v>
      </c>
      <c r="B102" s="10" t="s">
        <v>36</v>
      </c>
      <c r="C102" s="12" t="n">
        <v>70150.11</v>
      </c>
    </row>
    <row r="103" customFormat="false" ht="15" hidden="false" customHeight="false" outlineLevel="0" collapsed="false">
      <c r="A103" s="10" t="s">
        <v>51</v>
      </c>
      <c r="B103" s="10" t="s">
        <v>37</v>
      </c>
      <c r="C103" s="12" t="n">
        <v>55029.58</v>
      </c>
    </row>
    <row r="104" customFormat="false" ht="15" hidden="false" customHeight="false" outlineLevel="0" collapsed="false">
      <c r="A104" s="10" t="s">
        <v>51</v>
      </c>
      <c r="B104" s="10" t="s">
        <v>38</v>
      </c>
      <c r="C104" s="12" t="n">
        <v>160982.38</v>
      </c>
    </row>
    <row r="105" customFormat="false" ht="15" hidden="false" customHeight="false" outlineLevel="0" collapsed="false">
      <c r="A105" s="10" t="s">
        <v>51</v>
      </c>
      <c r="B105" s="10" t="s">
        <v>39</v>
      </c>
      <c r="C105" s="12" t="n">
        <v>186187.91</v>
      </c>
    </row>
    <row r="106" customFormat="false" ht="15" hidden="false" customHeight="false" outlineLevel="0" collapsed="false">
      <c r="A106" s="10" t="s">
        <v>51</v>
      </c>
      <c r="B106" s="10" t="s">
        <v>40</v>
      </c>
      <c r="C106" s="12" t="n">
        <v>88583.47</v>
      </c>
    </row>
    <row r="107" customFormat="false" ht="15" hidden="false" customHeight="false" outlineLevel="0" collapsed="false">
      <c r="A107" s="10" t="s">
        <v>51</v>
      </c>
      <c r="B107" s="10" t="s">
        <v>41</v>
      </c>
      <c r="C107" s="12" t="n">
        <v>107860.55</v>
      </c>
    </row>
    <row r="108" customFormat="false" ht="15" hidden="false" customHeight="false" outlineLevel="0" collapsed="false">
      <c r="A108" s="10" t="s">
        <v>51</v>
      </c>
      <c r="B108" s="10" t="s">
        <v>42</v>
      </c>
      <c r="C108" s="12" t="n">
        <v>172517.14</v>
      </c>
    </row>
    <row r="109" customFormat="false" ht="15" hidden="false" customHeight="false" outlineLevel="0" collapsed="false">
      <c r="A109" s="10" t="s">
        <v>51</v>
      </c>
      <c r="B109" s="10" t="s">
        <v>43</v>
      </c>
      <c r="C109" s="12" t="n">
        <v>193622.74</v>
      </c>
    </row>
    <row r="110" customFormat="false" ht="15" hidden="false" customHeight="false" outlineLevel="0" collapsed="false">
      <c r="A110" s="10" t="s">
        <v>52</v>
      </c>
      <c r="B110" s="10" t="s">
        <v>20</v>
      </c>
      <c r="C110" s="12" t="n">
        <v>231124.23</v>
      </c>
    </row>
    <row r="111" customFormat="false" ht="15" hidden="false" customHeight="false" outlineLevel="0" collapsed="false">
      <c r="A111" s="10" t="s">
        <v>52</v>
      </c>
      <c r="B111" s="10" t="s">
        <v>21</v>
      </c>
      <c r="C111" s="12" t="n">
        <v>206692.06</v>
      </c>
    </row>
    <row r="112" customFormat="false" ht="15" hidden="false" customHeight="false" outlineLevel="0" collapsed="false">
      <c r="A112" s="10" t="s">
        <v>52</v>
      </c>
      <c r="B112" s="10" t="s">
        <v>22</v>
      </c>
      <c r="C112" s="12" t="n">
        <v>565435.09</v>
      </c>
    </row>
    <row r="113" customFormat="false" ht="15" hidden="false" customHeight="false" outlineLevel="0" collapsed="false">
      <c r="A113" s="10" t="s">
        <v>52</v>
      </c>
      <c r="B113" s="10" t="s">
        <v>23</v>
      </c>
      <c r="C113" s="12" t="n">
        <v>531100.28</v>
      </c>
    </row>
    <row r="114" customFormat="false" ht="15" hidden="false" customHeight="false" outlineLevel="0" collapsed="false">
      <c r="A114" s="10" t="s">
        <v>52</v>
      </c>
      <c r="B114" s="10" t="s">
        <v>24</v>
      </c>
      <c r="C114" s="12" t="n">
        <v>392362.25</v>
      </c>
    </row>
    <row r="115" customFormat="false" ht="15" hidden="false" customHeight="false" outlineLevel="0" collapsed="false">
      <c r="A115" s="10" t="s">
        <v>52</v>
      </c>
      <c r="B115" s="10" t="s">
        <v>25</v>
      </c>
      <c r="C115" s="12" t="n">
        <v>401725.86</v>
      </c>
    </row>
    <row r="116" customFormat="false" ht="15" hidden="false" customHeight="false" outlineLevel="0" collapsed="false">
      <c r="A116" s="10" t="s">
        <v>52</v>
      </c>
      <c r="B116" s="10" t="s">
        <v>26</v>
      </c>
      <c r="C116" s="12" t="n">
        <v>551737.5</v>
      </c>
    </row>
    <row r="117" customFormat="false" ht="15" hidden="false" customHeight="false" outlineLevel="0" collapsed="false">
      <c r="A117" s="10" t="s">
        <v>52</v>
      </c>
      <c r="B117" s="10" t="s">
        <v>27</v>
      </c>
      <c r="C117" s="12" t="n">
        <v>454422.49</v>
      </c>
    </row>
    <row r="118" customFormat="false" ht="15" hidden="false" customHeight="false" outlineLevel="0" collapsed="false">
      <c r="A118" s="10" t="s">
        <v>52</v>
      </c>
      <c r="B118" s="10" t="s">
        <v>28</v>
      </c>
      <c r="C118" s="12" t="n">
        <v>402757</v>
      </c>
    </row>
    <row r="119" customFormat="false" ht="15" hidden="false" customHeight="false" outlineLevel="0" collapsed="false">
      <c r="A119" s="10" t="s">
        <v>52</v>
      </c>
      <c r="B119" s="10" t="s">
        <v>29</v>
      </c>
      <c r="C119" s="12" t="n">
        <v>573716.41</v>
      </c>
    </row>
    <row r="120" customFormat="false" ht="15" hidden="false" customHeight="false" outlineLevel="0" collapsed="false">
      <c r="A120" s="10" t="s">
        <v>52</v>
      </c>
      <c r="B120" s="10" t="s">
        <v>30</v>
      </c>
      <c r="C120" s="12" t="n">
        <v>643017.32</v>
      </c>
    </row>
    <row r="121" customFormat="false" ht="15" hidden="false" customHeight="false" outlineLevel="0" collapsed="false">
      <c r="A121" s="10" t="s">
        <v>52</v>
      </c>
      <c r="B121" s="10" t="s">
        <v>31</v>
      </c>
      <c r="C121" s="12" t="n">
        <v>774931.32</v>
      </c>
    </row>
    <row r="122" customFormat="false" ht="15" hidden="false" customHeight="false" outlineLevel="0" collapsed="false">
      <c r="A122" s="10" t="s">
        <v>52</v>
      </c>
      <c r="B122" s="10" t="s">
        <v>32</v>
      </c>
      <c r="C122" s="12" t="n">
        <v>384673.75</v>
      </c>
    </row>
    <row r="123" customFormat="false" ht="15" hidden="false" customHeight="false" outlineLevel="0" collapsed="false">
      <c r="A123" s="10" t="s">
        <v>52</v>
      </c>
      <c r="B123" s="10" t="s">
        <v>33</v>
      </c>
      <c r="C123" s="12" t="n">
        <v>385228.92</v>
      </c>
    </row>
    <row r="124" customFormat="false" ht="15" hidden="false" customHeight="false" outlineLevel="0" collapsed="false">
      <c r="A124" s="10" t="s">
        <v>52</v>
      </c>
      <c r="B124" s="10" t="s">
        <v>34</v>
      </c>
      <c r="C124" s="12" t="n">
        <v>508444.98</v>
      </c>
    </row>
    <row r="125" customFormat="false" ht="15" hidden="false" customHeight="false" outlineLevel="0" collapsed="false">
      <c r="A125" s="10" t="s">
        <v>52</v>
      </c>
      <c r="B125" s="10" t="s">
        <v>35</v>
      </c>
      <c r="C125" s="12" t="n">
        <v>566672.65</v>
      </c>
    </row>
    <row r="126" customFormat="false" ht="15" hidden="false" customHeight="false" outlineLevel="0" collapsed="false">
      <c r="A126" s="10" t="s">
        <v>52</v>
      </c>
      <c r="B126" s="10" t="s">
        <v>36</v>
      </c>
      <c r="C126" s="12" t="n">
        <v>474567.29</v>
      </c>
    </row>
    <row r="127" customFormat="false" ht="15" hidden="false" customHeight="false" outlineLevel="0" collapsed="false">
      <c r="A127" s="10" t="s">
        <v>52</v>
      </c>
      <c r="B127" s="10" t="s">
        <v>37</v>
      </c>
      <c r="C127" s="12" t="n">
        <v>464868.52</v>
      </c>
    </row>
    <row r="128" customFormat="false" ht="15" hidden="false" customHeight="false" outlineLevel="0" collapsed="false">
      <c r="A128" s="10" t="s">
        <v>52</v>
      </c>
      <c r="B128" s="10" t="s">
        <v>38</v>
      </c>
      <c r="C128" s="12" t="n">
        <v>549183.84</v>
      </c>
    </row>
    <row r="129" customFormat="false" ht="15" hidden="false" customHeight="false" outlineLevel="0" collapsed="false">
      <c r="A129" s="10" t="s">
        <v>52</v>
      </c>
      <c r="B129" s="10" t="s">
        <v>39</v>
      </c>
      <c r="C129" s="12" t="n">
        <v>451719.39</v>
      </c>
    </row>
    <row r="130" customFormat="false" ht="15" hidden="false" customHeight="false" outlineLevel="0" collapsed="false">
      <c r="A130" s="10" t="s">
        <v>52</v>
      </c>
      <c r="B130" s="10" t="s">
        <v>40</v>
      </c>
      <c r="C130" s="12" t="n">
        <v>497851.92</v>
      </c>
    </row>
    <row r="131" customFormat="false" ht="15" hidden="false" customHeight="false" outlineLevel="0" collapsed="false">
      <c r="A131" s="10" t="s">
        <v>52</v>
      </c>
      <c r="B131" s="10" t="s">
        <v>41</v>
      </c>
      <c r="C131" s="12" t="n">
        <v>797950.96</v>
      </c>
    </row>
    <row r="132" customFormat="false" ht="15" hidden="false" customHeight="false" outlineLevel="0" collapsed="false">
      <c r="A132" s="10" t="s">
        <v>52</v>
      </c>
      <c r="B132" s="10" t="s">
        <v>42</v>
      </c>
      <c r="C132" s="12" t="n">
        <v>790688.09</v>
      </c>
    </row>
    <row r="133" customFormat="false" ht="15" hidden="false" customHeight="false" outlineLevel="0" collapsed="false">
      <c r="A133" s="10" t="s">
        <v>52</v>
      </c>
      <c r="B133" s="10" t="s">
        <v>43</v>
      </c>
      <c r="C133" s="12" t="n">
        <v>1222879.14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6" min="4" style="0" width="14"/>
  </cols>
  <sheetData>
    <row r="1" customFormat="false" ht="15" hidden="false" customHeight="false" outlineLevel="0" collapsed="false">
      <c r="A1" s="6" t="s">
        <v>55</v>
      </c>
    </row>
    <row r="3" customFormat="false" ht="15" hidden="false" customHeight="false" outlineLevel="0" collapsed="false">
      <c r="A3" s="7" t="s">
        <v>56</v>
      </c>
      <c r="B3" s="7" t="s">
        <v>45</v>
      </c>
      <c r="C3" s="7" t="s">
        <v>46</v>
      </c>
      <c r="D3" s="7" t="s">
        <v>4</v>
      </c>
      <c r="E3" s="7" t="s">
        <v>57</v>
      </c>
      <c r="F3" s="7" t="s">
        <v>58</v>
      </c>
    </row>
    <row r="4" customFormat="false" ht="15" hidden="false" customHeight="false" outlineLevel="0" collapsed="false">
      <c r="A4" s="10" t="s">
        <v>59</v>
      </c>
      <c r="B4" s="12" t="n">
        <v>2706272.34</v>
      </c>
      <c r="C4" s="12" t="n">
        <v>3678634.28</v>
      </c>
      <c r="D4" s="13" t="n">
        <f aca="false">C4/B4-1</f>
        <v>0.359299367483466</v>
      </c>
      <c r="E4" s="13" t="n">
        <f aca="false">B4/SUM($B$4:$B$6)</f>
        <v>0.142951657581424</v>
      </c>
      <c r="F4" s="13" t="n">
        <f aca="false">C4/SUM($C$4:$C$6)</f>
        <v>0.196486001693675</v>
      </c>
    </row>
    <row r="5" customFormat="false" ht="15" hidden="false" customHeight="false" outlineLevel="0" collapsed="false">
      <c r="A5" s="10" t="s">
        <v>60</v>
      </c>
      <c r="B5" s="12" t="n">
        <v>2358210.11</v>
      </c>
      <c r="C5" s="12" t="n">
        <v>2034861.94</v>
      </c>
      <c r="D5" s="13" t="n">
        <f aca="false">C5/B5-1</f>
        <v>-0.137115928995826</v>
      </c>
      <c r="E5" s="13" t="n">
        <f aca="false">B5/SUM($B$4:$B$6)</f>
        <v>0.124566193567116</v>
      </c>
      <c r="F5" s="13" t="n">
        <f aca="false">C5/SUM($C$4:$C$6)</f>
        <v>0.108687587880912</v>
      </c>
    </row>
    <row r="6" customFormat="false" ht="15" hidden="false" customHeight="false" outlineLevel="0" collapsed="false">
      <c r="A6" s="10" t="s">
        <v>61</v>
      </c>
      <c r="B6" s="12" t="n">
        <v>13866898.87</v>
      </c>
      <c r="C6" s="12" t="n">
        <v>13008622.65</v>
      </c>
      <c r="D6" s="13" t="n">
        <f aca="false">C6/B6-1</f>
        <v>-0.061893883271682</v>
      </c>
      <c r="E6" s="13" t="n">
        <f aca="false">B6/SUM($B$4:$B$6)</f>
        <v>0.732482148851461</v>
      </c>
      <c r="F6" s="13" t="n">
        <f aca="false">C6/SUM($C$4:$C$6)</f>
        <v>0.694826410425414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6" t="s">
        <v>62</v>
      </c>
    </row>
    <row r="3" customFormat="false" ht="15" hidden="false" customHeight="false" outlineLevel="0" collapsed="false">
      <c r="A3" s="7" t="s">
        <v>63</v>
      </c>
      <c r="B3" s="7" t="s">
        <v>64</v>
      </c>
      <c r="C3" s="7" t="s">
        <v>16</v>
      </c>
      <c r="D3" s="7" t="s">
        <v>17</v>
      </c>
      <c r="E3" s="7" t="s">
        <v>65</v>
      </c>
    </row>
    <row r="4" customFormat="false" ht="15" hidden="false" customHeight="false" outlineLevel="0" collapsed="false">
      <c r="A4" s="10" t="s">
        <v>66</v>
      </c>
      <c r="B4" s="12" t="n">
        <v>4982577.32</v>
      </c>
      <c r="C4" s="12" t="n">
        <v>3221391.32</v>
      </c>
      <c r="D4" s="13" t="n">
        <f aca="false">C4/B4</f>
        <v>0.646531124980114</v>
      </c>
      <c r="E4" s="13" t="n">
        <f aca="false">B4/SUM($B$4:$B$7)</f>
        <v>0.13232706906019</v>
      </c>
    </row>
    <row r="5" customFormat="false" ht="15" hidden="false" customHeight="false" outlineLevel="0" collapsed="false">
      <c r="A5" s="10" t="s">
        <v>67</v>
      </c>
      <c r="B5" s="12" t="n">
        <v>29190116.62</v>
      </c>
      <c r="C5" s="12" t="n">
        <v>12621396.62</v>
      </c>
      <c r="D5" s="13" t="n">
        <f aca="false">C5/B5</f>
        <v>0.432385960779351</v>
      </c>
      <c r="E5" s="13" t="n">
        <f aca="false">B5/SUM($B$4:$B$7)</f>
        <v>0.775229831827223</v>
      </c>
    </row>
    <row r="6" customFormat="false" ht="15" hidden="false" customHeight="false" outlineLevel="0" collapsed="false">
      <c r="A6" s="10" t="s">
        <v>68</v>
      </c>
      <c r="B6" s="12" t="n">
        <v>1478231.44</v>
      </c>
      <c r="C6" s="12" t="n">
        <v>1296407.44</v>
      </c>
      <c r="D6" s="13" t="n">
        <f aca="false">C6/B6</f>
        <v>0.876998963031121</v>
      </c>
      <c r="E6" s="13" t="n">
        <f aca="false">B6/SUM($B$4:$B$7)</f>
        <v>0.0392588054906138</v>
      </c>
    </row>
    <row r="7" customFormat="false" ht="15" hidden="false" customHeight="false" outlineLevel="0" collapsed="false">
      <c r="A7" s="10" t="s">
        <v>69</v>
      </c>
      <c r="B7" s="12" t="n">
        <v>2002574.81</v>
      </c>
      <c r="C7" s="12" t="n">
        <v>1821330.81</v>
      </c>
      <c r="D7" s="13" t="n">
        <f aca="false">C7/B7</f>
        <v>0.90949451721107</v>
      </c>
      <c r="E7" s="13" t="n">
        <f aca="false">B7/SUM($B$4:$B$7)</f>
        <v>0.0531842936219736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6" t="s">
        <v>70</v>
      </c>
    </row>
    <row r="3" customFormat="false" ht="15" hidden="false" customHeight="false" outlineLevel="0" collapsed="false">
      <c r="A3" s="7" t="s">
        <v>71</v>
      </c>
      <c r="B3" s="7" t="s">
        <v>8</v>
      </c>
      <c r="C3" s="7" t="s">
        <v>72</v>
      </c>
      <c r="D3" s="7" t="s">
        <v>9</v>
      </c>
      <c r="E3" s="7" t="s">
        <v>73</v>
      </c>
      <c r="F3" s="7" t="s">
        <v>74</v>
      </c>
      <c r="G3" s="7" t="s">
        <v>75</v>
      </c>
    </row>
    <row r="4" customFormat="false" ht="15" hidden="false" customHeight="false" outlineLevel="0" collapsed="false">
      <c r="A4" s="14" t="n">
        <f aca="false">RANK(E4,$E$4:$E$63)</f>
        <v>1</v>
      </c>
      <c r="B4" s="10" t="s">
        <v>76</v>
      </c>
      <c r="C4" s="10" t="s">
        <v>77</v>
      </c>
      <c r="D4" s="10" t="s">
        <v>52</v>
      </c>
      <c r="E4" s="12" t="n">
        <v>1416013.97</v>
      </c>
      <c r="F4" s="12" t="n">
        <v>670372.97</v>
      </c>
      <c r="G4" s="13" t="n">
        <f aca="false">F4/E4</f>
        <v>0.4734225679991</v>
      </c>
    </row>
    <row r="5" customFormat="false" ht="15" hidden="false" customHeight="false" outlineLevel="0" collapsed="false">
      <c r="A5" s="14" t="n">
        <f aca="false">RANK(E5,$E$4:$E$63)</f>
        <v>2</v>
      </c>
      <c r="B5" s="10" t="s">
        <v>78</v>
      </c>
      <c r="C5" s="10" t="s">
        <v>79</v>
      </c>
      <c r="D5" s="10" t="s">
        <v>52</v>
      </c>
      <c r="E5" s="12" t="n">
        <v>1228490.93</v>
      </c>
      <c r="F5" s="12" t="n">
        <v>608419.93</v>
      </c>
      <c r="G5" s="13" t="n">
        <f aca="false">F5/E5</f>
        <v>0.495257974757697</v>
      </c>
    </row>
    <row r="6" customFormat="false" ht="15" hidden="false" customHeight="false" outlineLevel="0" collapsed="false">
      <c r="A6" s="14" t="n">
        <f aca="false">RANK(E6,$E$4:$E$63)</f>
        <v>3</v>
      </c>
      <c r="B6" s="10" t="s">
        <v>80</v>
      </c>
      <c r="C6" s="10" t="s">
        <v>77</v>
      </c>
      <c r="D6" s="10" t="s">
        <v>52</v>
      </c>
      <c r="E6" s="12" t="n">
        <v>1182150.35</v>
      </c>
      <c r="F6" s="12" t="n">
        <v>580704.35</v>
      </c>
      <c r="G6" s="13" t="n">
        <f aca="false">F6/E6</f>
        <v>0.491227152282279</v>
      </c>
    </row>
    <row r="7" customFormat="false" ht="15" hidden="false" customHeight="false" outlineLevel="0" collapsed="false">
      <c r="A7" s="14" t="n">
        <f aca="false">RANK(E7,$E$4:$E$63)</f>
        <v>4</v>
      </c>
      <c r="B7" s="10" t="s">
        <v>81</v>
      </c>
      <c r="C7" s="10" t="s">
        <v>79</v>
      </c>
      <c r="D7" s="10" t="s">
        <v>52</v>
      </c>
      <c r="E7" s="12" t="n">
        <v>1177951.22</v>
      </c>
      <c r="F7" s="12" t="n">
        <v>589614.22</v>
      </c>
      <c r="G7" s="13" t="n">
        <f aca="false">F7/E7</f>
        <v>0.500542136201531</v>
      </c>
    </row>
    <row r="8" customFormat="false" ht="15" hidden="false" customHeight="false" outlineLevel="0" collapsed="false">
      <c r="A8" s="14" t="n">
        <f aca="false">RANK(E8,$E$4:$E$63)</f>
        <v>5</v>
      </c>
      <c r="B8" s="10" t="s">
        <v>82</v>
      </c>
      <c r="C8" s="10" t="s">
        <v>79</v>
      </c>
      <c r="D8" s="10" t="s">
        <v>52</v>
      </c>
      <c r="E8" s="12" t="n">
        <v>1141319.5</v>
      </c>
      <c r="F8" s="12" t="n">
        <v>564307.5</v>
      </c>
      <c r="G8" s="13" t="n">
        <f aca="false">F8/E8</f>
        <v>0.494434292939006</v>
      </c>
    </row>
    <row r="9" customFormat="false" ht="15" hidden="false" customHeight="false" outlineLevel="0" collapsed="false">
      <c r="A9" s="14" t="n">
        <f aca="false">RANK(E9,$E$4:$E$63)</f>
        <v>6</v>
      </c>
      <c r="B9" s="10" t="s">
        <v>83</v>
      </c>
      <c r="C9" s="10" t="s">
        <v>77</v>
      </c>
      <c r="D9" s="10" t="s">
        <v>52</v>
      </c>
      <c r="E9" s="12" t="n">
        <v>1121545.81</v>
      </c>
      <c r="F9" s="12" t="n">
        <v>558127.81</v>
      </c>
      <c r="G9" s="13" t="n">
        <f aca="false">F9/E9</f>
        <v>0.497641563120815</v>
      </c>
    </row>
    <row r="10" customFormat="false" ht="15" hidden="false" customHeight="false" outlineLevel="0" collapsed="false">
      <c r="A10" s="14" t="n">
        <f aca="false">RANK(E10,$E$4:$E$63)</f>
        <v>7</v>
      </c>
      <c r="B10" s="10" t="s">
        <v>84</v>
      </c>
      <c r="C10" s="10" t="s">
        <v>77</v>
      </c>
      <c r="D10" s="10" t="s">
        <v>52</v>
      </c>
      <c r="E10" s="12" t="n">
        <v>1085500.91</v>
      </c>
      <c r="F10" s="12" t="n">
        <v>557174.91</v>
      </c>
      <c r="G10" s="13" t="n">
        <f aca="false">F10/E10</f>
        <v>0.513288293788717</v>
      </c>
    </row>
    <row r="11" customFormat="false" ht="15" hidden="false" customHeight="false" outlineLevel="0" collapsed="false">
      <c r="A11" s="14" t="n">
        <f aca="false">RANK(E11,$E$4:$E$63)</f>
        <v>8</v>
      </c>
      <c r="B11" s="10" t="s">
        <v>85</v>
      </c>
      <c r="C11" s="10" t="s">
        <v>77</v>
      </c>
      <c r="D11" s="10" t="s">
        <v>49</v>
      </c>
      <c r="E11" s="12" t="n">
        <v>1072071.49</v>
      </c>
      <c r="F11" s="12" t="n">
        <v>509821.49</v>
      </c>
      <c r="G11" s="13" t="n">
        <f aca="false">F11/E11</f>
        <v>0.475548034581164</v>
      </c>
    </row>
    <row r="12" customFormat="false" ht="15" hidden="false" customHeight="false" outlineLevel="0" collapsed="false">
      <c r="A12" s="14" t="n">
        <f aca="false">RANK(E12,$E$4:$E$63)</f>
        <v>9</v>
      </c>
      <c r="B12" s="10" t="s">
        <v>86</v>
      </c>
      <c r="C12" s="10" t="s">
        <v>79</v>
      </c>
      <c r="D12" s="10" t="s">
        <v>52</v>
      </c>
      <c r="E12" s="12" t="n">
        <v>1055439.11</v>
      </c>
      <c r="F12" s="12" t="n">
        <v>541098.11</v>
      </c>
      <c r="G12" s="13" t="n">
        <f aca="false">F12/E12</f>
        <v>0.512675818882626</v>
      </c>
    </row>
    <row r="13" customFormat="false" ht="15" hidden="false" customHeight="false" outlineLevel="0" collapsed="false">
      <c r="A13" s="14" t="n">
        <f aca="false">RANK(E13,$E$4:$E$63)</f>
        <v>10</v>
      </c>
      <c r="B13" s="10" t="s">
        <v>87</v>
      </c>
      <c r="C13" s="10" t="s">
        <v>79</v>
      </c>
      <c r="D13" s="10" t="s">
        <v>52</v>
      </c>
      <c r="E13" s="12" t="n">
        <v>1031553.28</v>
      </c>
      <c r="F13" s="12" t="n">
        <v>516742.28</v>
      </c>
      <c r="G13" s="13" t="n">
        <f aca="false">F13/E13</f>
        <v>0.500936102883605</v>
      </c>
    </row>
    <row r="14" customFormat="false" ht="15" hidden="false" customHeight="false" outlineLevel="0" collapsed="false">
      <c r="A14" s="14" t="n">
        <f aca="false">RANK(E14,$E$4:$E$63)</f>
        <v>11</v>
      </c>
      <c r="B14" s="10" t="s">
        <v>88</v>
      </c>
      <c r="C14" s="10" t="s">
        <v>79</v>
      </c>
      <c r="D14" s="10" t="s">
        <v>52</v>
      </c>
      <c r="E14" s="12" t="n">
        <v>935710.31</v>
      </c>
      <c r="F14" s="12" t="n">
        <v>484951.31</v>
      </c>
      <c r="G14" s="13" t="n">
        <f aca="false">F14/E14</f>
        <v>0.518270777629884</v>
      </c>
    </row>
    <row r="15" customFormat="false" ht="15" hidden="false" customHeight="false" outlineLevel="0" collapsed="false">
      <c r="A15" s="14" t="n">
        <f aca="false">RANK(E15,$E$4:$E$63)</f>
        <v>12</v>
      </c>
      <c r="B15" s="10" t="s">
        <v>89</v>
      </c>
      <c r="C15" s="10" t="s">
        <v>77</v>
      </c>
      <c r="D15" s="10" t="s">
        <v>49</v>
      </c>
      <c r="E15" s="12" t="n">
        <v>900135.66</v>
      </c>
      <c r="F15" s="12" t="n">
        <v>433139.66</v>
      </c>
      <c r="G15" s="13" t="n">
        <f aca="false">F15/E15</f>
        <v>0.481193756949925</v>
      </c>
    </row>
    <row r="16" customFormat="false" ht="15" hidden="false" customHeight="false" outlineLevel="0" collapsed="false">
      <c r="A16" s="14" t="n">
        <f aca="false">RANK(E16,$E$4:$E$63)</f>
        <v>13</v>
      </c>
      <c r="B16" s="10" t="s">
        <v>90</v>
      </c>
      <c r="C16" s="10" t="s">
        <v>79</v>
      </c>
      <c r="D16" s="10" t="s">
        <v>50</v>
      </c>
      <c r="E16" s="12" t="n">
        <v>875285.88</v>
      </c>
      <c r="F16" s="12" t="n">
        <v>429022.88</v>
      </c>
      <c r="G16" s="13" t="n">
        <f aca="false">F16/E16</f>
        <v>0.490151720487025</v>
      </c>
    </row>
    <row r="17" customFormat="false" ht="15" hidden="false" customHeight="false" outlineLevel="0" collapsed="false">
      <c r="A17" s="14" t="n">
        <f aca="false">RANK(E17,$E$4:$E$63)</f>
        <v>14</v>
      </c>
      <c r="B17" s="10" t="s">
        <v>91</v>
      </c>
      <c r="C17" s="10" t="s">
        <v>79</v>
      </c>
      <c r="D17" s="10" t="s">
        <v>49</v>
      </c>
      <c r="E17" s="12" t="n">
        <v>871283.16</v>
      </c>
      <c r="F17" s="12" t="n">
        <v>447089.16</v>
      </c>
      <c r="G17" s="13" t="n">
        <f aca="false">F17/E17</f>
        <v>0.513138759619777</v>
      </c>
    </row>
    <row r="18" customFormat="false" ht="15" hidden="false" customHeight="false" outlineLevel="0" collapsed="false">
      <c r="A18" s="14" t="n">
        <f aca="false">RANK(E18,$E$4:$E$63)</f>
        <v>15</v>
      </c>
      <c r="B18" s="10" t="s">
        <v>92</v>
      </c>
      <c r="C18" s="10" t="s">
        <v>79</v>
      </c>
      <c r="D18" s="10" t="s">
        <v>49</v>
      </c>
      <c r="E18" s="12" t="n">
        <v>849046.6</v>
      </c>
      <c r="F18" s="12" t="n">
        <v>405480.6</v>
      </c>
      <c r="G18" s="13" t="n">
        <f aca="false">F18/E18</f>
        <v>0.477571666855506</v>
      </c>
    </row>
    <row r="19" customFormat="false" ht="15" hidden="false" customHeight="false" outlineLevel="0" collapsed="false">
      <c r="A19" s="14" t="n">
        <f aca="false">RANK(E19,$E$4:$E$63)</f>
        <v>16</v>
      </c>
      <c r="B19" s="10" t="s">
        <v>93</v>
      </c>
      <c r="C19" s="10" t="s">
        <v>79</v>
      </c>
      <c r="D19" s="10" t="s">
        <v>49</v>
      </c>
      <c r="E19" s="12" t="n">
        <v>845898.77</v>
      </c>
      <c r="F19" s="12" t="n">
        <v>439217.77</v>
      </c>
      <c r="G19" s="13" t="n">
        <f aca="false">F19/E19</f>
        <v>0.519232070759483</v>
      </c>
    </row>
    <row r="20" customFormat="false" ht="15" hidden="false" customHeight="false" outlineLevel="0" collapsed="false">
      <c r="A20" s="14" t="n">
        <f aca="false">RANK(E20,$E$4:$E$63)</f>
        <v>17</v>
      </c>
      <c r="B20" s="10" t="s">
        <v>94</v>
      </c>
      <c r="C20" s="10" t="s">
        <v>79</v>
      </c>
      <c r="D20" s="10" t="s">
        <v>50</v>
      </c>
      <c r="E20" s="12" t="n">
        <v>835430.87</v>
      </c>
      <c r="F20" s="12" t="n">
        <v>395606.87</v>
      </c>
      <c r="G20" s="13" t="n">
        <f aca="false">F20/E20</f>
        <v>0.473536332216213</v>
      </c>
    </row>
    <row r="21" customFormat="false" ht="15" hidden="false" customHeight="false" outlineLevel="0" collapsed="false">
      <c r="A21" s="14" t="n">
        <f aca="false">RANK(E21,$E$4:$E$63)</f>
        <v>18</v>
      </c>
      <c r="B21" s="10" t="s">
        <v>95</v>
      </c>
      <c r="C21" s="10" t="s">
        <v>77</v>
      </c>
      <c r="D21" s="10" t="s">
        <v>49</v>
      </c>
      <c r="E21" s="12" t="n">
        <v>829930.76</v>
      </c>
      <c r="F21" s="12" t="n">
        <v>416456.76</v>
      </c>
      <c r="G21" s="13" t="n">
        <f aca="false">F21/E21</f>
        <v>0.501796993281705</v>
      </c>
    </row>
    <row r="22" customFormat="false" ht="15" hidden="false" customHeight="false" outlineLevel="0" collapsed="false">
      <c r="A22" s="14" t="n">
        <f aca="false">RANK(E22,$E$4:$E$63)</f>
        <v>19</v>
      </c>
      <c r="B22" s="10" t="s">
        <v>96</v>
      </c>
      <c r="C22" s="10" t="s">
        <v>77</v>
      </c>
      <c r="D22" s="10" t="s">
        <v>52</v>
      </c>
      <c r="E22" s="12" t="n">
        <v>757951.2</v>
      </c>
      <c r="F22" s="12" t="n">
        <v>399196.2</v>
      </c>
      <c r="G22" s="13" t="n">
        <f aca="false">F22/E22</f>
        <v>0.526677970824507</v>
      </c>
    </row>
    <row r="23" customFormat="false" ht="15" hidden="false" customHeight="false" outlineLevel="0" collapsed="false">
      <c r="A23" s="14" t="n">
        <f aca="false">RANK(E23,$E$4:$E$63)</f>
        <v>20</v>
      </c>
      <c r="B23" s="10" t="s">
        <v>97</v>
      </c>
      <c r="C23" s="10" t="s">
        <v>77</v>
      </c>
      <c r="D23" s="10" t="s">
        <v>50</v>
      </c>
      <c r="E23" s="12" t="n">
        <v>738095.33</v>
      </c>
      <c r="F23" s="12" t="n">
        <v>372436.33</v>
      </c>
      <c r="G23" s="13" t="n">
        <f aca="false">F23/E23</f>
        <v>0.504591093944464</v>
      </c>
    </row>
    <row r="24" customFormat="false" ht="15" hidden="false" customHeight="false" outlineLevel="0" collapsed="false">
      <c r="A24" s="14" t="n">
        <f aca="false">RANK(E24,$E$4:$E$63)</f>
        <v>21</v>
      </c>
      <c r="B24" s="10" t="s">
        <v>98</v>
      </c>
      <c r="C24" s="10" t="s">
        <v>79</v>
      </c>
      <c r="D24" s="10" t="s">
        <v>50</v>
      </c>
      <c r="E24" s="12" t="n">
        <v>728100.27</v>
      </c>
      <c r="F24" s="12" t="n">
        <v>350314.27</v>
      </c>
      <c r="G24" s="13" t="n">
        <f aca="false">F24/E24</f>
        <v>0.481134651962154</v>
      </c>
    </row>
    <row r="25" customFormat="false" ht="15" hidden="false" customHeight="false" outlineLevel="0" collapsed="false">
      <c r="A25" s="14" t="n">
        <f aca="false">RANK(E25,$E$4:$E$63)</f>
        <v>22</v>
      </c>
      <c r="B25" s="10" t="s">
        <v>99</v>
      </c>
      <c r="C25" s="10" t="s">
        <v>79</v>
      </c>
      <c r="D25" s="10" t="s">
        <v>49</v>
      </c>
      <c r="E25" s="12" t="n">
        <v>728098.5</v>
      </c>
      <c r="F25" s="12" t="n">
        <v>373074.5</v>
      </c>
      <c r="G25" s="13" t="n">
        <f aca="false">F25/E25</f>
        <v>0.512395644270658</v>
      </c>
    </row>
    <row r="26" customFormat="false" ht="15" hidden="false" customHeight="false" outlineLevel="0" collapsed="false">
      <c r="A26" s="14" t="n">
        <f aca="false">RANK(E26,$E$4:$E$63)</f>
        <v>23</v>
      </c>
      <c r="B26" s="10" t="s">
        <v>100</v>
      </c>
      <c r="C26" s="10" t="s">
        <v>77</v>
      </c>
      <c r="D26" s="10" t="s">
        <v>50</v>
      </c>
      <c r="E26" s="12" t="n">
        <v>721188.81</v>
      </c>
      <c r="F26" s="12" t="n">
        <v>343461.81</v>
      </c>
      <c r="G26" s="13" t="n">
        <f aca="false">F26/E26</f>
        <v>0.47624395336916</v>
      </c>
    </row>
    <row r="27" customFormat="false" ht="15" hidden="false" customHeight="false" outlineLevel="0" collapsed="false">
      <c r="A27" s="14" t="n">
        <f aca="false">RANK(E27,$E$4:$E$63)</f>
        <v>24</v>
      </c>
      <c r="B27" s="10" t="s">
        <v>101</v>
      </c>
      <c r="C27" s="10" t="s">
        <v>77</v>
      </c>
      <c r="D27" s="10" t="s">
        <v>52</v>
      </c>
      <c r="E27" s="12" t="n">
        <v>690124.67</v>
      </c>
      <c r="F27" s="12" t="n">
        <v>370832.67</v>
      </c>
      <c r="G27" s="13" t="n">
        <f aca="false">F27/E27</f>
        <v>0.537341564677002</v>
      </c>
    </row>
    <row r="28" customFormat="false" ht="15" hidden="false" customHeight="false" outlineLevel="0" collapsed="false">
      <c r="A28" s="14" t="n">
        <f aca="false">RANK(E28,$E$4:$E$63)</f>
        <v>25</v>
      </c>
      <c r="B28" s="10" t="s">
        <v>102</v>
      </c>
      <c r="C28" s="10" t="s">
        <v>79</v>
      </c>
      <c r="D28" s="10" t="s">
        <v>50</v>
      </c>
      <c r="E28" s="12" t="n">
        <v>671386.14</v>
      </c>
      <c r="F28" s="12" t="n">
        <v>319194.14</v>
      </c>
      <c r="G28" s="13" t="n">
        <f aca="false">F28/E28</f>
        <v>0.475425572532671</v>
      </c>
    </row>
    <row r="29" customFormat="false" ht="15" hidden="false" customHeight="false" outlineLevel="0" collapsed="false">
      <c r="A29" s="14" t="n">
        <f aca="false">RANK(E29,$E$4:$E$63)</f>
        <v>26</v>
      </c>
      <c r="B29" s="10" t="s">
        <v>103</v>
      </c>
      <c r="C29" s="10" t="s">
        <v>77</v>
      </c>
      <c r="D29" s="10" t="s">
        <v>49</v>
      </c>
      <c r="E29" s="12" t="n">
        <v>666936.72</v>
      </c>
      <c r="F29" s="12" t="n">
        <v>337131.72</v>
      </c>
      <c r="G29" s="13" t="n">
        <f aca="false">F29/E29</f>
        <v>0.505492814970512</v>
      </c>
    </row>
    <row r="30" customFormat="false" ht="15" hidden="false" customHeight="false" outlineLevel="0" collapsed="false">
      <c r="A30" s="14" t="n">
        <f aca="false">RANK(E30,$E$4:$E$63)</f>
        <v>27</v>
      </c>
      <c r="B30" s="10" t="s">
        <v>104</v>
      </c>
      <c r="C30" s="10" t="s">
        <v>79</v>
      </c>
      <c r="D30" s="10" t="s">
        <v>49</v>
      </c>
      <c r="E30" s="12" t="n">
        <v>665622.33</v>
      </c>
      <c r="F30" s="12" t="n">
        <v>342461.33</v>
      </c>
      <c r="G30" s="13" t="n">
        <f aca="false">F30/E30</f>
        <v>0.514497958624675</v>
      </c>
    </row>
    <row r="31" customFormat="false" ht="15" hidden="false" customHeight="false" outlineLevel="0" collapsed="false">
      <c r="A31" s="14" t="n">
        <f aca="false">RANK(E31,$E$4:$E$63)</f>
        <v>28</v>
      </c>
      <c r="B31" s="10" t="s">
        <v>105</v>
      </c>
      <c r="C31" s="10" t="s">
        <v>79</v>
      </c>
      <c r="D31" s="10" t="s">
        <v>48</v>
      </c>
      <c r="E31" s="12" t="n">
        <v>664546.95</v>
      </c>
      <c r="F31" s="12" t="n">
        <v>318027.95</v>
      </c>
      <c r="G31" s="13" t="n">
        <f aca="false">F31/E31</f>
        <v>0.478563553711292</v>
      </c>
    </row>
    <row r="32" customFormat="false" ht="15" hidden="false" customHeight="false" outlineLevel="0" collapsed="false">
      <c r="A32" s="14" t="n">
        <f aca="false">RANK(E32,$E$4:$E$63)</f>
        <v>29</v>
      </c>
      <c r="B32" s="10" t="s">
        <v>106</v>
      </c>
      <c r="C32" s="10" t="s">
        <v>77</v>
      </c>
      <c r="D32" s="10" t="s">
        <v>50</v>
      </c>
      <c r="E32" s="12" t="n">
        <v>661025.35</v>
      </c>
      <c r="F32" s="12" t="n">
        <v>337930.35</v>
      </c>
      <c r="G32" s="13" t="n">
        <f aca="false">F32/E32</f>
        <v>0.511221468284083</v>
      </c>
    </row>
    <row r="33" customFormat="false" ht="15" hidden="false" customHeight="false" outlineLevel="0" collapsed="false">
      <c r="A33" s="14" t="n">
        <f aca="false">RANK(E33,$E$4:$E$63)</f>
        <v>30</v>
      </c>
      <c r="B33" s="10" t="s">
        <v>107</v>
      </c>
      <c r="C33" s="10" t="s">
        <v>79</v>
      </c>
      <c r="D33" s="10" t="s">
        <v>49</v>
      </c>
      <c r="E33" s="12" t="n">
        <v>649922.25</v>
      </c>
      <c r="F33" s="12" t="n">
        <v>332425.25</v>
      </c>
      <c r="G33" s="13" t="n">
        <f aca="false">F33/E33</f>
        <v>0.511484642970755</v>
      </c>
    </row>
    <row r="34" customFormat="false" ht="15" hidden="false" customHeight="false" outlineLevel="0" collapsed="false">
      <c r="A34" s="14" t="n">
        <f aca="false">RANK(E34,$E$4:$E$63)</f>
        <v>31</v>
      </c>
      <c r="B34" s="10" t="s">
        <v>108</v>
      </c>
      <c r="C34" s="10" t="s">
        <v>77</v>
      </c>
      <c r="D34" s="10" t="s">
        <v>49</v>
      </c>
      <c r="E34" s="12" t="n">
        <v>636802.42</v>
      </c>
      <c r="F34" s="12" t="n">
        <v>340894.42</v>
      </c>
      <c r="G34" s="13" t="n">
        <f aca="false">F34/E34</f>
        <v>0.5353221176515</v>
      </c>
    </row>
    <row r="35" customFormat="false" ht="15" hidden="false" customHeight="false" outlineLevel="0" collapsed="false">
      <c r="A35" s="14" t="n">
        <f aca="false">RANK(E35,$E$4:$E$63)</f>
        <v>32</v>
      </c>
      <c r="B35" s="10" t="s">
        <v>109</v>
      </c>
      <c r="C35" s="10" t="s">
        <v>77</v>
      </c>
      <c r="D35" s="10" t="s">
        <v>50</v>
      </c>
      <c r="E35" s="12" t="n">
        <v>597522.55</v>
      </c>
      <c r="F35" s="12" t="n">
        <v>322499.55</v>
      </c>
      <c r="G35" s="13" t="n">
        <f aca="false">F35/E35</f>
        <v>0.539727831192312</v>
      </c>
    </row>
    <row r="36" customFormat="false" ht="15" hidden="false" customHeight="false" outlineLevel="0" collapsed="false">
      <c r="A36" s="14" t="n">
        <f aca="false">RANK(E36,$E$4:$E$63)</f>
        <v>33</v>
      </c>
      <c r="B36" s="10" t="s">
        <v>110</v>
      </c>
      <c r="C36" s="10" t="s">
        <v>79</v>
      </c>
      <c r="D36" s="10" t="s">
        <v>50</v>
      </c>
      <c r="E36" s="12" t="n">
        <v>595298.6</v>
      </c>
      <c r="F36" s="12" t="n">
        <v>309196.6</v>
      </c>
      <c r="G36" s="13" t="n">
        <f aca="false">F36/E36</f>
        <v>0.519397492283704</v>
      </c>
    </row>
    <row r="37" customFormat="false" ht="15" hidden="false" customHeight="false" outlineLevel="0" collapsed="false">
      <c r="A37" s="14" t="n">
        <f aca="false">RANK(E37,$E$4:$E$63)</f>
        <v>34</v>
      </c>
      <c r="B37" s="10" t="s">
        <v>111</v>
      </c>
      <c r="C37" s="10" t="s">
        <v>77</v>
      </c>
      <c r="D37" s="10" t="s">
        <v>50</v>
      </c>
      <c r="E37" s="12" t="n">
        <v>570012.41</v>
      </c>
      <c r="F37" s="12" t="n">
        <v>300235.41</v>
      </c>
      <c r="G37" s="13" t="n">
        <f aca="false">F37/E37</f>
        <v>0.526717321821116</v>
      </c>
    </row>
    <row r="38" customFormat="false" ht="15" hidden="false" customHeight="false" outlineLevel="0" collapsed="false">
      <c r="A38" s="14" t="n">
        <f aca="false">RANK(E38,$E$4:$E$63)</f>
        <v>35</v>
      </c>
      <c r="B38" s="10" t="s">
        <v>112</v>
      </c>
      <c r="C38" s="10" t="s">
        <v>77</v>
      </c>
      <c r="D38" s="10" t="s">
        <v>48</v>
      </c>
      <c r="E38" s="12" t="n">
        <v>553570.29</v>
      </c>
      <c r="F38" s="12" t="n">
        <v>271987.29</v>
      </c>
      <c r="G38" s="13" t="n">
        <f aca="false">F38/E38</f>
        <v>0.491332889270484</v>
      </c>
    </row>
    <row r="39" customFormat="false" ht="15" hidden="false" customHeight="false" outlineLevel="0" collapsed="false">
      <c r="A39" s="14" t="n">
        <f aca="false">RANK(E39,$E$4:$E$63)</f>
        <v>36</v>
      </c>
      <c r="B39" s="10" t="s">
        <v>113</v>
      </c>
      <c r="C39" s="10" t="s">
        <v>77</v>
      </c>
      <c r="D39" s="10" t="s">
        <v>50</v>
      </c>
      <c r="E39" s="12" t="n">
        <v>545474.4</v>
      </c>
      <c r="F39" s="12" t="n">
        <v>283445.4</v>
      </c>
      <c r="G39" s="13" t="n">
        <f aca="false">F39/E39</f>
        <v>0.51963098543213</v>
      </c>
    </row>
    <row r="40" customFormat="false" ht="15" hidden="false" customHeight="false" outlineLevel="0" collapsed="false">
      <c r="A40" s="14" t="n">
        <f aca="false">RANK(E40,$E$4:$E$63)</f>
        <v>37</v>
      </c>
      <c r="B40" s="10" t="s">
        <v>114</v>
      </c>
      <c r="C40" s="10" t="s">
        <v>79</v>
      </c>
      <c r="D40" s="10" t="s">
        <v>50</v>
      </c>
      <c r="E40" s="12" t="n">
        <v>539970.63</v>
      </c>
      <c r="F40" s="12" t="n">
        <v>280195.63</v>
      </c>
      <c r="G40" s="13" t="n">
        <f aca="false">F40/E40</f>
        <v>0.518909019181284</v>
      </c>
    </row>
    <row r="41" customFormat="false" ht="15" hidden="false" customHeight="false" outlineLevel="0" collapsed="false">
      <c r="A41" s="14" t="n">
        <f aca="false">RANK(E41,$E$4:$E$63)</f>
        <v>38</v>
      </c>
      <c r="B41" s="10" t="s">
        <v>115</v>
      </c>
      <c r="C41" s="10" t="s">
        <v>79</v>
      </c>
      <c r="D41" s="10" t="s">
        <v>48</v>
      </c>
      <c r="E41" s="12" t="n">
        <v>515535.15</v>
      </c>
      <c r="F41" s="12" t="n">
        <v>248586.15</v>
      </c>
      <c r="G41" s="13" t="n">
        <f aca="false">F41/E41</f>
        <v>0.482190496613083</v>
      </c>
    </row>
    <row r="42" customFormat="false" ht="15" hidden="false" customHeight="false" outlineLevel="0" collapsed="false">
      <c r="A42" s="14" t="n">
        <f aca="false">RANK(E42,$E$4:$E$63)</f>
        <v>39</v>
      </c>
      <c r="B42" s="10" t="s">
        <v>116</v>
      </c>
      <c r="C42" s="10" t="s">
        <v>79</v>
      </c>
      <c r="D42" s="10" t="s">
        <v>48</v>
      </c>
      <c r="E42" s="12" t="n">
        <v>489435.15</v>
      </c>
      <c r="F42" s="12" t="n">
        <v>233857.15</v>
      </c>
      <c r="G42" s="13" t="n">
        <f aca="false">F42/E42</f>
        <v>0.477810288043268</v>
      </c>
    </row>
    <row r="43" customFormat="false" ht="15" hidden="false" customHeight="false" outlineLevel="0" collapsed="false">
      <c r="A43" s="14" t="n">
        <f aca="false">RANK(E43,$E$4:$E$63)</f>
        <v>40</v>
      </c>
      <c r="B43" s="10" t="s">
        <v>117</v>
      </c>
      <c r="C43" s="10" t="s">
        <v>77</v>
      </c>
      <c r="D43" s="10" t="s">
        <v>48</v>
      </c>
      <c r="E43" s="12" t="n">
        <v>479511.03</v>
      </c>
      <c r="F43" s="12" t="n">
        <v>243222.03</v>
      </c>
      <c r="G43" s="13" t="n">
        <f aca="false">F43/E43</f>
        <v>0.507229270617612</v>
      </c>
    </row>
    <row r="44" customFormat="false" ht="15" hidden="false" customHeight="false" outlineLevel="0" collapsed="false">
      <c r="A44" s="14" t="n">
        <f aca="false">RANK(E44,$E$4:$E$63)</f>
        <v>41</v>
      </c>
      <c r="B44" s="10" t="s">
        <v>118</v>
      </c>
      <c r="C44" s="10" t="s">
        <v>77</v>
      </c>
      <c r="D44" s="10" t="s">
        <v>49</v>
      </c>
      <c r="E44" s="12" t="n">
        <v>460907.16</v>
      </c>
      <c r="F44" s="12" t="n">
        <v>256352.16</v>
      </c>
      <c r="G44" s="13" t="n">
        <f aca="false">F44/E44</f>
        <v>0.556190448419157</v>
      </c>
    </row>
    <row r="45" customFormat="false" ht="15" hidden="false" customHeight="false" outlineLevel="0" collapsed="false">
      <c r="A45" s="14" t="n">
        <f aca="false">RANK(E45,$E$4:$E$63)</f>
        <v>42</v>
      </c>
      <c r="B45" s="10" t="s">
        <v>119</v>
      </c>
      <c r="C45" s="10" t="s">
        <v>79</v>
      </c>
      <c r="D45" s="10" t="s">
        <v>48</v>
      </c>
      <c r="E45" s="12" t="n">
        <v>382503.72</v>
      </c>
      <c r="F45" s="12" t="n">
        <v>195599.72</v>
      </c>
      <c r="G45" s="13" t="n">
        <f aca="false">F45/E45</f>
        <v>0.511366843700239</v>
      </c>
    </row>
    <row r="46" customFormat="false" ht="15" hidden="false" customHeight="false" outlineLevel="0" collapsed="false">
      <c r="A46" s="14" t="n">
        <f aca="false">RANK(E46,$E$4:$E$63)</f>
        <v>43</v>
      </c>
      <c r="B46" s="10" t="s">
        <v>120</v>
      </c>
      <c r="C46" s="10" t="s">
        <v>77</v>
      </c>
      <c r="D46" s="10" t="s">
        <v>48</v>
      </c>
      <c r="E46" s="12" t="n">
        <v>381201.7</v>
      </c>
      <c r="F46" s="12" t="n">
        <v>201116.7</v>
      </c>
      <c r="G46" s="13" t="n">
        <f aca="false">F46/E46</f>
        <v>0.527586052213303</v>
      </c>
    </row>
    <row r="47" customFormat="false" ht="15" hidden="false" customHeight="false" outlineLevel="0" collapsed="false">
      <c r="A47" s="14" t="n">
        <f aca="false">RANK(E47,$E$4:$E$63)</f>
        <v>44</v>
      </c>
      <c r="B47" s="10" t="s">
        <v>121</v>
      </c>
      <c r="C47" s="10" t="s">
        <v>77</v>
      </c>
      <c r="D47" s="10" t="s">
        <v>48</v>
      </c>
      <c r="E47" s="12" t="n">
        <v>379802.44</v>
      </c>
      <c r="F47" s="12" t="n">
        <v>190876.44</v>
      </c>
      <c r="G47" s="13" t="n">
        <f aca="false">F47/E47</f>
        <v>0.502567703356514</v>
      </c>
    </row>
    <row r="48" customFormat="false" ht="15" hidden="false" customHeight="false" outlineLevel="0" collapsed="false">
      <c r="A48" s="14" t="n">
        <f aca="false">RANK(E48,$E$4:$E$63)</f>
        <v>45</v>
      </c>
      <c r="B48" s="10" t="s">
        <v>122</v>
      </c>
      <c r="C48" s="10" t="s">
        <v>77</v>
      </c>
      <c r="D48" s="10" t="s">
        <v>48</v>
      </c>
      <c r="E48" s="12" t="n">
        <v>375085.72</v>
      </c>
      <c r="F48" s="12" t="n">
        <v>204868.72</v>
      </c>
      <c r="G48" s="13" t="n">
        <f aca="false">F48/E48</f>
        <v>0.546191734518712</v>
      </c>
    </row>
    <row r="49" customFormat="false" ht="15" hidden="false" customHeight="false" outlineLevel="0" collapsed="false">
      <c r="A49" s="14" t="n">
        <f aca="false">RANK(E49,$E$4:$E$63)</f>
        <v>46</v>
      </c>
      <c r="B49" s="10" t="s">
        <v>123</v>
      </c>
      <c r="C49" s="10" t="s">
        <v>79</v>
      </c>
      <c r="D49" s="10" t="s">
        <v>48</v>
      </c>
      <c r="E49" s="12" t="n">
        <v>335968.27</v>
      </c>
      <c r="F49" s="12" t="n">
        <v>179649.27</v>
      </c>
      <c r="G49" s="13" t="n">
        <f aca="false">F49/E49</f>
        <v>0.534720942546152</v>
      </c>
    </row>
    <row r="50" customFormat="false" ht="15" hidden="false" customHeight="false" outlineLevel="0" collapsed="false">
      <c r="A50" s="14" t="n">
        <f aca="false">RANK(E50,$E$4:$E$63)</f>
        <v>47</v>
      </c>
      <c r="B50" s="10" t="s">
        <v>124</v>
      </c>
      <c r="C50" s="10" t="s">
        <v>79</v>
      </c>
      <c r="D50" s="10" t="s">
        <v>48</v>
      </c>
      <c r="E50" s="12" t="n">
        <v>320006.06</v>
      </c>
      <c r="F50" s="12" t="n">
        <v>168322.06</v>
      </c>
      <c r="G50" s="13" t="n">
        <f aca="false">F50/E50</f>
        <v>0.525996476441727</v>
      </c>
    </row>
    <row r="51" customFormat="false" ht="15" hidden="false" customHeight="false" outlineLevel="0" collapsed="false">
      <c r="A51" s="14" t="n">
        <f aca="false">RANK(E51,$E$4:$E$63)</f>
        <v>48</v>
      </c>
      <c r="B51" s="10" t="s">
        <v>125</v>
      </c>
      <c r="C51" s="10" t="s">
        <v>126</v>
      </c>
      <c r="D51" s="10" t="s">
        <v>51</v>
      </c>
      <c r="E51" s="12" t="n">
        <v>273478.01</v>
      </c>
      <c r="F51" s="12" t="n">
        <v>134231.01</v>
      </c>
      <c r="G51" s="13" t="n">
        <f aca="false">F51/E51</f>
        <v>0.490829262652599</v>
      </c>
    </row>
    <row r="52" customFormat="false" ht="15" hidden="false" customHeight="false" outlineLevel="0" collapsed="false">
      <c r="A52" s="14" t="n">
        <f aca="false">RANK(E52,$E$4:$E$63)</f>
        <v>49</v>
      </c>
      <c r="B52" s="10" t="s">
        <v>127</v>
      </c>
      <c r="C52" s="10" t="s">
        <v>126</v>
      </c>
      <c r="D52" s="10" t="s">
        <v>51</v>
      </c>
      <c r="E52" s="12" t="n">
        <v>262964.37</v>
      </c>
      <c r="F52" s="12" t="n">
        <v>125126.37</v>
      </c>
      <c r="G52" s="13" t="n">
        <f aca="false">F52/E52</f>
        <v>0.475830128621608</v>
      </c>
    </row>
    <row r="53" customFormat="false" ht="15" hidden="false" customHeight="false" outlineLevel="0" collapsed="false">
      <c r="A53" s="14" t="n">
        <f aca="false">RANK(E53,$E$4:$E$63)</f>
        <v>50</v>
      </c>
      <c r="B53" s="10" t="s">
        <v>128</v>
      </c>
      <c r="C53" s="10" t="s">
        <v>126</v>
      </c>
      <c r="D53" s="10" t="s">
        <v>51</v>
      </c>
      <c r="E53" s="12" t="n">
        <v>254990.46</v>
      </c>
      <c r="F53" s="12" t="n">
        <v>121080.46</v>
      </c>
      <c r="G53" s="13" t="n">
        <f aca="false">F53/E53</f>
        <v>0.47484309805159</v>
      </c>
    </row>
    <row r="54" customFormat="false" ht="15" hidden="false" customHeight="false" outlineLevel="0" collapsed="false">
      <c r="A54" s="14" t="n">
        <f aca="false">RANK(E54,$E$4:$E$63)</f>
        <v>51</v>
      </c>
      <c r="B54" s="10" t="s">
        <v>129</v>
      </c>
      <c r="C54" s="10" t="s">
        <v>126</v>
      </c>
      <c r="D54" s="10" t="s">
        <v>51</v>
      </c>
      <c r="E54" s="12" t="n">
        <v>252728.05</v>
      </c>
      <c r="F54" s="12" t="n">
        <v>124447.05</v>
      </c>
      <c r="G54" s="13" t="n">
        <f aca="false">F54/E54</f>
        <v>0.492414870450668</v>
      </c>
    </row>
    <row r="55" customFormat="false" ht="15" hidden="false" customHeight="false" outlineLevel="0" collapsed="false">
      <c r="A55" s="14" t="n">
        <f aca="false">RANK(E55,$E$4:$E$63)</f>
        <v>52</v>
      </c>
      <c r="B55" s="10" t="s">
        <v>130</v>
      </c>
      <c r="C55" s="10" t="s">
        <v>126</v>
      </c>
      <c r="D55" s="10" t="s">
        <v>51</v>
      </c>
      <c r="E55" s="12" t="n">
        <v>241967.78</v>
      </c>
      <c r="F55" s="12" t="n">
        <v>120459.78</v>
      </c>
      <c r="G55" s="13" t="n">
        <f aca="false">F55/E55</f>
        <v>0.497833967811748</v>
      </c>
    </row>
    <row r="56" customFormat="false" ht="15" hidden="false" customHeight="false" outlineLevel="0" collapsed="false">
      <c r="A56" s="14" t="n">
        <f aca="false">RANK(E56,$E$4:$E$63)</f>
        <v>53</v>
      </c>
      <c r="B56" s="10" t="s">
        <v>131</v>
      </c>
      <c r="C56" s="10" t="s">
        <v>126</v>
      </c>
      <c r="D56" s="10" t="s">
        <v>51</v>
      </c>
      <c r="E56" s="12" t="n">
        <v>201041.99</v>
      </c>
      <c r="F56" s="12" t="n">
        <v>100876.99</v>
      </c>
      <c r="G56" s="13" t="n">
        <f aca="false">F56/E56</f>
        <v>0.501770749483727</v>
      </c>
    </row>
    <row r="57" customFormat="false" ht="15" hidden="false" customHeight="false" outlineLevel="0" collapsed="false">
      <c r="A57" s="14" t="n">
        <f aca="false">RANK(E57,$E$4:$E$63)</f>
        <v>54</v>
      </c>
      <c r="B57" s="10" t="s">
        <v>132</v>
      </c>
      <c r="C57" s="10" t="s">
        <v>77</v>
      </c>
      <c r="D57" s="10" t="s">
        <v>48</v>
      </c>
      <c r="E57" s="12" t="n">
        <v>197029.45</v>
      </c>
      <c r="F57" s="12" t="n">
        <v>118883.45</v>
      </c>
      <c r="G57" s="13" t="n">
        <f aca="false">F57/E57</f>
        <v>0.603379088760589</v>
      </c>
    </row>
    <row r="58" customFormat="false" ht="15" hidden="false" customHeight="false" outlineLevel="0" collapsed="false">
      <c r="A58" s="14" t="n">
        <f aca="false">RANK(E58,$E$4:$E$63)</f>
        <v>55</v>
      </c>
      <c r="B58" s="10" t="s">
        <v>133</v>
      </c>
      <c r="C58" s="10" t="s">
        <v>126</v>
      </c>
      <c r="D58" s="10" t="s">
        <v>51</v>
      </c>
      <c r="E58" s="12" t="n">
        <v>196725.29</v>
      </c>
      <c r="F58" s="12" t="n">
        <v>104596.29</v>
      </c>
      <c r="G58" s="13" t="n">
        <f aca="false">F58/E58</f>
        <v>0.531687054572394</v>
      </c>
    </row>
    <row r="59" customFormat="false" ht="15" hidden="false" customHeight="false" outlineLevel="0" collapsed="false">
      <c r="A59" s="14" t="n">
        <f aca="false">RANK(E59,$E$4:$E$63)</f>
        <v>56</v>
      </c>
      <c r="B59" s="10" t="s">
        <v>134</v>
      </c>
      <c r="C59" s="10" t="s">
        <v>126</v>
      </c>
      <c r="D59" s="10" t="s">
        <v>51</v>
      </c>
      <c r="E59" s="12" t="n">
        <v>192783.63</v>
      </c>
      <c r="F59" s="12" t="n">
        <v>103688.63</v>
      </c>
      <c r="G59" s="13" t="n">
        <f aca="false">F59/E59</f>
        <v>0.537849764526169</v>
      </c>
    </row>
    <row r="60" customFormat="false" ht="15" hidden="false" customHeight="false" outlineLevel="0" collapsed="false">
      <c r="A60" s="14" t="n">
        <f aca="false">RANK(E60,$E$4:$E$63)</f>
        <v>57</v>
      </c>
      <c r="B60" s="10" t="s">
        <v>135</v>
      </c>
      <c r="C60" s="10" t="s">
        <v>126</v>
      </c>
      <c r="D60" s="10" t="s">
        <v>51</v>
      </c>
      <c r="E60" s="12" t="n">
        <v>182694</v>
      </c>
      <c r="F60" s="12" t="n">
        <v>95897</v>
      </c>
      <c r="G60" s="13" t="n">
        <f aca="false">F60/E60</f>
        <v>0.524905032458647</v>
      </c>
    </row>
    <row r="61" customFormat="false" ht="15" hidden="false" customHeight="false" outlineLevel="0" collapsed="false">
      <c r="A61" s="14" t="n">
        <f aca="false">RANK(E61,$E$4:$E$63)</f>
        <v>58</v>
      </c>
      <c r="B61" s="10" t="s">
        <v>136</v>
      </c>
      <c r="C61" s="10" t="s">
        <v>126</v>
      </c>
      <c r="D61" s="10" t="s">
        <v>51</v>
      </c>
      <c r="E61" s="12" t="n">
        <v>161152.01</v>
      </c>
      <c r="F61" s="12" t="n">
        <v>86972.01</v>
      </c>
      <c r="G61" s="13" t="n">
        <f aca="false">F61/E61</f>
        <v>0.539689266053833</v>
      </c>
    </row>
    <row r="62" customFormat="false" ht="15" hidden="false" customHeight="false" outlineLevel="0" collapsed="false">
      <c r="A62" s="14" t="n">
        <f aca="false">RANK(E62,$E$4:$E$63)</f>
        <v>59</v>
      </c>
      <c r="B62" s="10" t="s">
        <v>137</v>
      </c>
      <c r="C62" s="10" t="s">
        <v>126</v>
      </c>
      <c r="D62" s="10" t="s">
        <v>51</v>
      </c>
      <c r="E62" s="12" t="n">
        <v>157510.04</v>
      </c>
      <c r="F62" s="12" t="n">
        <v>83309.04</v>
      </c>
      <c r="G62" s="13" t="n">
        <f aca="false">F62/E62</f>
        <v>0.528912569636831</v>
      </c>
    </row>
    <row r="63" customFormat="false" ht="15" hidden="false" customHeight="false" outlineLevel="0" collapsed="false">
      <c r="A63" s="14" t="n">
        <f aca="false">RANK(E63,$E$4:$E$63)</f>
        <v>60</v>
      </c>
      <c r="B63" s="10" t="s">
        <v>138</v>
      </c>
      <c r="C63" s="10" t="s">
        <v>126</v>
      </c>
      <c r="D63" s="10" t="s">
        <v>51</v>
      </c>
      <c r="E63" s="12" t="n">
        <v>122070.31</v>
      </c>
      <c r="F63" s="12" t="n">
        <v>66218.31</v>
      </c>
      <c r="G63" s="13" t="n">
        <f aca="false">F63/E63</f>
        <v>0.542460406629589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2026-06-25T08:45:42Z</dcterms:created>
  <dc:creator>openpyxl</dc:creator>
  <dc:description/>
  <dc:language>en-US</dc:language>
  <cp:lastModifiedBy/>
  <dcterms:modified xsi:type="dcterms:W3CDTF">2026-06-25T08:45:49Z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